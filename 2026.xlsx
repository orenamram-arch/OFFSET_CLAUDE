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OFFSET\"/>
    </mc:Choice>
  </mc:AlternateContent>
  <xr:revisionPtr revIDLastSave="0" documentId="8_{FE255DA5-0974-4CAC-9CE6-5F837A9F7A9C}" xr6:coauthVersionLast="47" xr6:coauthVersionMax="47" xr10:uidLastSave="{00000000-0000-0000-0000-000000000000}"/>
  <bookViews>
    <workbookView xWindow="-120" yWindow="-120" windowWidth="20730" windowHeight="11160" tabRatio="603" xr2:uid="{93C549CA-54F1-47ED-A6D5-3AB5FDE75CEF}"/>
  </bookViews>
  <sheets>
    <sheet name="2026" sheetId="1" r:id="rId1"/>
    <sheet name="FFF" sheetId="3" r:id="rId2"/>
  </sheets>
  <externalReferences>
    <externalReference r:id="rId3"/>
    <externalReference r:id="rId4"/>
  </externalReferences>
  <definedNames>
    <definedName name="_xlnm._FilterDatabase" localSheetId="0" hidden="1">'2026'!$A$15:$WXK$15</definedName>
    <definedName name="_xlnm._FilterDatabase" localSheetId="1" hidden="1">FFF!$A$1:$E$548</definedName>
    <definedName name="_xlnm.Criteria" localSheetId="0">'2026'!#REF!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7" i="1" l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BJ16" i="1"/>
  <c r="CI201" i="1" a="1"/>
  <c r="CI201" i="1" s="1"/>
  <c r="CJ201" i="1" a="1"/>
  <c r="CJ201" i="1"/>
  <c r="CK201" i="1" a="1"/>
  <c r="CK201" i="1"/>
  <c r="CL201" i="1" a="1"/>
  <c r="CL201" i="1" s="1"/>
  <c r="CM201" i="1" a="1"/>
  <c r="CM201" i="1" s="1"/>
  <c r="CN201" i="1" a="1"/>
  <c r="CN201" i="1"/>
  <c r="CO201" i="1" a="1"/>
  <c r="CO201" i="1" s="1"/>
  <c r="CP201" i="1" a="1"/>
  <c r="CP201" i="1" s="1"/>
  <c r="CQ201" i="1" a="1"/>
  <c r="CQ201" i="1"/>
  <c r="CR201" i="1" a="1"/>
  <c r="CR201" i="1" s="1"/>
  <c r="CS201" i="1" a="1"/>
  <c r="CS201" i="1"/>
  <c r="CT201" i="1" a="1"/>
  <c r="CT201" i="1"/>
  <c r="CU201" i="1" a="1"/>
  <c r="CU201" i="1" s="1"/>
  <c r="CV201" i="1" a="1"/>
  <c r="CV201" i="1"/>
  <c r="CW201" i="1" a="1"/>
  <c r="CW201" i="1" s="1"/>
  <c r="CX201" i="1" a="1"/>
  <c r="CX201" i="1" s="1"/>
  <c r="CY201" i="1" a="1"/>
  <c r="CY201" i="1" s="1"/>
  <c r="CZ201" i="1" a="1"/>
  <c r="CZ201" i="1"/>
  <c r="DA201" i="1" a="1"/>
  <c r="DA201" i="1" s="1"/>
  <c r="DB201" i="1" a="1"/>
  <c r="DB201" i="1"/>
  <c r="DC201" i="1" a="1"/>
  <c r="DC201" i="1" s="1"/>
  <c r="DD201" i="1" a="1"/>
  <c r="DD201" i="1" s="1"/>
  <c r="DE201" i="1" a="1"/>
  <c r="DE201" i="1"/>
  <c r="CI202" i="1" a="1"/>
  <c r="CI202" i="1" s="1"/>
  <c r="CJ202" i="1" a="1"/>
  <c r="CJ202" i="1" s="1"/>
  <c r="CK202" i="1" a="1"/>
  <c r="CK202" i="1" s="1"/>
  <c r="CL202" i="1" a="1"/>
  <c r="CL202" i="1"/>
  <c r="CM202" i="1" a="1"/>
  <c r="CM202" i="1" s="1"/>
  <c r="CN202" i="1" a="1"/>
  <c r="CN202" i="1" s="1"/>
  <c r="CO202" i="1" a="1"/>
  <c r="CO202" i="1"/>
  <c r="CP202" i="1" a="1"/>
  <c r="CP202" i="1" s="1"/>
  <c r="CQ202" i="1" a="1"/>
  <c r="CQ202" i="1" s="1"/>
  <c r="CR202" i="1" a="1"/>
  <c r="CR202" i="1" s="1"/>
  <c r="CS202" i="1" a="1"/>
  <c r="CS202" i="1" s="1"/>
  <c r="CT202" i="1" a="1"/>
  <c r="CT202" i="1"/>
  <c r="CU202" i="1" a="1"/>
  <c r="CU202" i="1" s="1"/>
  <c r="CV202" i="1" a="1"/>
  <c r="CV202" i="1" s="1"/>
  <c r="CW202" i="1" a="1"/>
  <c r="CW202" i="1"/>
  <c r="CX202" i="1" a="1"/>
  <c r="CX202" i="1"/>
  <c r="CY202" i="1" a="1"/>
  <c r="CY202" i="1" s="1"/>
  <c r="CZ202" i="1" a="1"/>
  <c r="CZ202" i="1"/>
  <c r="DA202" i="1" a="1"/>
  <c r="DA202" i="1"/>
  <c r="DB202" i="1" a="1"/>
  <c r="DB202" i="1" s="1"/>
  <c r="DC202" i="1" a="1"/>
  <c r="DC202" i="1" s="1"/>
  <c r="DD202" i="1" a="1"/>
  <c r="DD202" i="1"/>
  <c r="DE202" i="1" a="1"/>
  <c r="DE202" i="1" s="1"/>
  <c r="CI203" i="1" a="1"/>
  <c r="CI203" i="1"/>
  <c r="CJ203" i="1" a="1"/>
  <c r="CJ203" i="1"/>
  <c r="CK203" i="1" a="1"/>
  <c r="CK203" i="1" s="1"/>
  <c r="CL203" i="1" a="1"/>
  <c r="CL203" i="1"/>
  <c r="CM203" i="1" a="1"/>
  <c r="CM203" i="1" s="1"/>
  <c r="CN203" i="1" a="1"/>
  <c r="CN203" i="1" s="1"/>
  <c r="CO203" i="1" a="1"/>
  <c r="CO203" i="1"/>
  <c r="CP203" i="1" a="1"/>
  <c r="CP203" i="1"/>
  <c r="CQ203" i="1" a="1"/>
  <c r="CQ203" i="1" s="1"/>
  <c r="CR203" i="1" a="1"/>
  <c r="CR203" i="1"/>
  <c r="CS203" i="1" a="1"/>
  <c r="CS203" i="1"/>
  <c r="CT203" i="1" a="1"/>
  <c r="CT203" i="1" s="1"/>
  <c r="CU203" i="1" a="1"/>
  <c r="CU203" i="1"/>
  <c r="CV203" i="1" a="1"/>
  <c r="CV203" i="1"/>
  <c r="CW203" i="1" a="1"/>
  <c r="CW203" i="1" s="1"/>
  <c r="CX203" i="1" a="1"/>
  <c r="CX203" i="1" s="1"/>
  <c r="CY203" i="1" a="1"/>
  <c r="CY203" i="1"/>
  <c r="CZ203" i="1" a="1"/>
  <c r="CZ203" i="1" s="1"/>
  <c r="DA203" i="1" a="1"/>
  <c r="DA203" i="1"/>
  <c r="DB203" i="1" a="1"/>
  <c r="DB203" i="1"/>
  <c r="DC203" i="1" a="1"/>
  <c r="DC203" i="1" s="1"/>
  <c r="DD203" i="1" a="1"/>
  <c r="DD203" i="1"/>
  <c r="DE203" i="1" a="1"/>
  <c r="DE203" i="1" s="1"/>
  <c r="CI204" i="1" a="1"/>
  <c r="CI204" i="1" s="1"/>
  <c r="CJ204" i="1" a="1"/>
  <c r="CJ204" i="1" s="1"/>
  <c r="CK204" i="1" a="1"/>
  <c r="CK204" i="1"/>
  <c r="CL204" i="1" a="1"/>
  <c r="CL204" i="1" s="1"/>
  <c r="CM204" i="1" a="1"/>
  <c r="CM204" i="1"/>
  <c r="CN204" i="1" a="1"/>
  <c r="CN204" i="1" s="1"/>
  <c r="CO204" i="1" a="1"/>
  <c r="CO204" i="1" s="1"/>
  <c r="CP204" i="1" a="1"/>
  <c r="CP204" i="1"/>
  <c r="CQ204" i="1" a="1"/>
  <c r="CQ204" i="1" s="1"/>
  <c r="CR204" i="1" a="1"/>
  <c r="CR204" i="1" s="1"/>
  <c r="CS204" i="1" a="1"/>
  <c r="CS204" i="1" s="1"/>
  <c r="CT204" i="1" a="1"/>
  <c r="CT204" i="1"/>
  <c r="CU204" i="1" a="1"/>
  <c r="CU204" i="1" s="1"/>
  <c r="CV204" i="1" a="1"/>
  <c r="CV204" i="1" s="1"/>
  <c r="CW204" i="1" a="1"/>
  <c r="CW204" i="1"/>
  <c r="CX204" i="1" a="1"/>
  <c r="CX204" i="1" s="1"/>
  <c r="CY204" i="1" a="1"/>
  <c r="CY204" i="1" s="1"/>
  <c r="CZ204" i="1" a="1"/>
  <c r="CZ204" i="1" s="1"/>
  <c r="DA204" i="1" a="1"/>
  <c r="DA204" i="1" s="1"/>
  <c r="DB204" i="1" a="1"/>
  <c r="DB204" i="1"/>
  <c r="DC204" i="1" a="1"/>
  <c r="DC204" i="1" s="1"/>
  <c r="DD204" i="1" a="1"/>
  <c r="DD204" i="1" s="1"/>
  <c r="DE204" i="1" a="1"/>
  <c r="DE204" i="1"/>
  <c r="CI205" i="1" a="1"/>
  <c r="CI205" i="1"/>
  <c r="CJ205" i="1" a="1"/>
  <c r="CJ205" i="1" s="1"/>
  <c r="CK205" i="1" a="1"/>
  <c r="CK205" i="1"/>
  <c r="CL205" i="1" a="1"/>
  <c r="CL205" i="1"/>
  <c r="CM205" i="1" a="1"/>
  <c r="CM205" i="1" s="1"/>
  <c r="CN205" i="1" a="1"/>
  <c r="CN205" i="1" s="1"/>
  <c r="CO205" i="1" a="1"/>
  <c r="CO205" i="1"/>
  <c r="CP205" i="1" a="1"/>
  <c r="CP205" i="1" s="1"/>
  <c r="CQ205" i="1" a="1"/>
  <c r="CQ205" i="1"/>
  <c r="CR205" i="1" a="1"/>
  <c r="CR205" i="1"/>
  <c r="CS205" i="1" a="1"/>
  <c r="CS205" i="1" s="1"/>
  <c r="CT205" i="1" a="1"/>
  <c r="CT205" i="1"/>
  <c r="CU205" i="1" a="1"/>
  <c r="CU205" i="1" s="1"/>
  <c r="CV205" i="1" a="1"/>
  <c r="CV205" i="1" s="1"/>
  <c r="CW205" i="1" a="1"/>
  <c r="CW205" i="1"/>
  <c r="CX205" i="1" a="1"/>
  <c r="CX205" i="1"/>
  <c r="CY205" i="1" a="1"/>
  <c r="CY205" i="1" s="1"/>
  <c r="CZ205" i="1" a="1"/>
  <c r="CZ205" i="1"/>
  <c r="DA205" i="1" a="1"/>
  <c r="DA205" i="1"/>
  <c r="DB205" i="1" a="1"/>
  <c r="DB205" i="1" s="1"/>
  <c r="DC205" i="1" a="1"/>
  <c r="DC205" i="1"/>
  <c r="DD205" i="1" a="1"/>
  <c r="DD205" i="1"/>
  <c r="DE205" i="1" a="1"/>
  <c r="DE205" i="1" s="1"/>
  <c r="CI17" i="1" a="1"/>
  <c r="CI17" i="1" s="1"/>
  <c r="CJ17" i="1" a="1"/>
  <c r="CJ17" i="1"/>
  <c r="CK17" i="1" a="1"/>
  <c r="CK17" i="1"/>
  <c r="CL17" i="1" a="1"/>
  <c r="CL17" i="1" s="1"/>
  <c r="CM17" i="1" a="1"/>
  <c r="CM17" i="1" s="1"/>
  <c r="CN17" i="1" a="1"/>
  <c r="CN17" i="1"/>
  <c r="CO17" i="1" a="1"/>
  <c r="CO17" i="1" s="1"/>
  <c r="CP17" i="1" a="1"/>
  <c r="CP17" i="1" s="1"/>
  <c r="CQ17" i="1" a="1"/>
  <c r="CQ17" i="1"/>
  <c r="CR17" i="1" a="1"/>
  <c r="CR17" i="1" s="1"/>
  <c r="CS17" i="1" a="1"/>
  <c r="CS17" i="1"/>
  <c r="CT17" i="1" a="1"/>
  <c r="CT17" i="1" s="1"/>
  <c r="CU17" i="1" a="1"/>
  <c r="CU17" i="1" s="1"/>
  <c r="CV17" i="1" a="1"/>
  <c r="CV17" i="1"/>
  <c r="CW17" i="1" a="1"/>
  <c r="CW17" i="1" s="1"/>
  <c r="CX17" i="1" a="1"/>
  <c r="CX17" i="1" s="1"/>
  <c r="CY17" i="1" a="1"/>
  <c r="CY17" i="1"/>
  <c r="CZ17" i="1" a="1"/>
  <c r="CZ17" i="1"/>
  <c r="DA17" i="1" a="1"/>
  <c r="DA17" i="1" s="1"/>
  <c r="DB17" i="1" a="1"/>
  <c r="DB17" i="1"/>
  <c r="DC17" i="1" a="1"/>
  <c r="DC17" i="1" s="1"/>
  <c r="DD17" i="1" a="1"/>
  <c r="DD17" i="1" s="1"/>
  <c r="DE17" i="1" a="1"/>
  <c r="DE17" i="1" s="1"/>
  <c r="CI18" i="1" a="1"/>
  <c r="CI18" i="1"/>
  <c r="CJ18" i="1" a="1"/>
  <c r="CJ18" i="1" s="1"/>
  <c r="CK18" i="1" a="1"/>
  <c r="CK18" i="1" s="1"/>
  <c r="CL18" i="1" a="1"/>
  <c r="CL18" i="1"/>
  <c r="CM18" i="1" a="1"/>
  <c r="CM18" i="1" s="1"/>
  <c r="CN18" i="1" a="1"/>
  <c r="CN18" i="1"/>
  <c r="CO18" i="1" a="1"/>
  <c r="CO18" i="1" s="1"/>
  <c r="CP18" i="1" a="1"/>
  <c r="CP18" i="1" s="1"/>
  <c r="CQ18" i="1" a="1"/>
  <c r="CQ18" i="1"/>
  <c r="CR18" i="1" a="1"/>
  <c r="CR18" i="1" s="1"/>
  <c r="CS18" i="1" a="1"/>
  <c r="CS18" i="1" s="1"/>
  <c r="CT18" i="1" a="1"/>
  <c r="CT18" i="1"/>
  <c r="CU18" i="1" a="1"/>
  <c r="CU18" i="1"/>
  <c r="CV18" i="1" a="1"/>
  <c r="CV18" i="1" s="1"/>
  <c r="CW18" i="1" a="1"/>
  <c r="CW18" i="1"/>
  <c r="CX18" i="1" a="1"/>
  <c r="CX18" i="1"/>
  <c r="CY18" i="1" a="1"/>
  <c r="CY18" i="1" s="1"/>
  <c r="CZ18" i="1" a="1"/>
  <c r="CZ18" i="1" s="1"/>
  <c r="DA18" i="1" a="1"/>
  <c r="DA18" i="1" s="1"/>
  <c r="DB18" i="1" a="1"/>
  <c r="DB18" i="1" s="1"/>
  <c r="DC18" i="1" a="1"/>
  <c r="DC18" i="1" s="1"/>
  <c r="DD18" i="1" a="1"/>
  <c r="DD18" i="1"/>
  <c r="DE18" i="1" a="1"/>
  <c r="DE18" i="1" s="1"/>
  <c r="CI19" i="1" a="1"/>
  <c r="CI19" i="1"/>
  <c r="CJ19" i="1" a="1"/>
  <c r="CJ19" i="1" s="1"/>
  <c r="CK19" i="1" a="1"/>
  <c r="CK19" i="1" s="1"/>
  <c r="CL19" i="1" a="1"/>
  <c r="CL19" i="1"/>
  <c r="CM19" i="1" a="1"/>
  <c r="CM19" i="1" s="1"/>
  <c r="CN19" i="1" a="1"/>
  <c r="CN19" i="1" s="1"/>
  <c r="CO19" i="1" a="1"/>
  <c r="CO19" i="1"/>
  <c r="CP19" i="1" a="1"/>
  <c r="CP19" i="1"/>
  <c r="CQ19" i="1" a="1"/>
  <c r="CQ19" i="1" s="1"/>
  <c r="CR19" i="1" a="1"/>
  <c r="CR19" i="1"/>
  <c r="CS19" i="1" a="1"/>
  <c r="CS19" i="1"/>
  <c r="CT19" i="1" a="1"/>
  <c r="CT19" i="1" s="1"/>
  <c r="CU19" i="1" a="1"/>
  <c r="CU19" i="1" s="1"/>
  <c r="CV19" i="1" a="1"/>
  <c r="CV19" i="1"/>
  <c r="CW19" i="1" a="1"/>
  <c r="CW19" i="1" s="1"/>
  <c r="CX19" i="1" a="1"/>
  <c r="CX19" i="1" s="1"/>
  <c r="CY19" i="1" a="1"/>
  <c r="CY19" i="1"/>
  <c r="CZ19" i="1" a="1"/>
  <c r="CZ19" i="1" s="1"/>
  <c r="DA19" i="1" a="1"/>
  <c r="DA19" i="1"/>
  <c r="DB19" i="1" a="1"/>
  <c r="DB19" i="1" s="1"/>
  <c r="DC19" i="1" a="1"/>
  <c r="DC19" i="1" s="1"/>
  <c r="DD19" i="1" a="1"/>
  <c r="DD19" i="1"/>
  <c r="DE19" i="1" a="1"/>
  <c r="DE19" i="1" s="1"/>
  <c r="CI20" i="1" a="1"/>
  <c r="CI20" i="1" s="1"/>
  <c r="CJ20" i="1" a="1"/>
  <c r="CJ20" i="1"/>
  <c r="CK20" i="1" a="1"/>
  <c r="CK20" i="1"/>
  <c r="CL20" i="1" a="1"/>
  <c r="CL20" i="1" s="1"/>
  <c r="CM20" i="1" a="1"/>
  <c r="CM20" i="1"/>
  <c r="CN20" i="1" a="1"/>
  <c r="CN20" i="1" s="1"/>
  <c r="CO20" i="1" a="1"/>
  <c r="CO20" i="1" s="1"/>
  <c r="CP20" i="1" a="1"/>
  <c r="CP20" i="1" s="1"/>
  <c r="CQ20" i="1" a="1"/>
  <c r="CQ20" i="1"/>
  <c r="CR20" i="1" a="1"/>
  <c r="CR20" i="1" s="1"/>
  <c r="CS20" i="1" a="1"/>
  <c r="CS20" i="1" s="1"/>
  <c r="CT20" i="1" a="1"/>
  <c r="CT20" i="1"/>
  <c r="CU20" i="1" a="1"/>
  <c r="CU20" i="1" s="1"/>
  <c r="CV20" i="1" a="1"/>
  <c r="CV20" i="1"/>
  <c r="CW20" i="1" a="1"/>
  <c r="CW20" i="1" s="1"/>
  <c r="CX20" i="1" a="1"/>
  <c r="CX20" i="1" s="1"/>
  <c r="CY20" i="1" a="1"/>
  <c r="CY20" i="1" s="1"/>
  <c r="CZ20" i="1" a="1"/>
  <c r="CZ20" i="1" s="1"/>
  <c r="DA20" i="1" a="1"/>
  <c r="DA20" i="1" s="1"/>
  <c r="DB20" i="1" a="1"/>
  <c r="DB20" i="1"/>
  <c r="DC20" i="1" a="1"/>
  <c r="DC20" i="1" s="1"/>
  <c r="DD20" i="1" a="1"/>
  <c r="DD20" i="1" s="1"/>
  <c r="DE20" i="1" a="1"/>
  <c r="DE20" i="1"/>
  <c r="CI21" i="1" a="1"/>
  <c r="CI21" i="1"/>
  <c r="CJ21" i="1" a="1"/>
  <c r="CJ21" i="1" s="1"/>
  <c r="CK21" i="1" a="1"/>
  <c r="CK21" i="1" s="1"/>
  <c r="CL21" i="1" a="1"/>
  <c r="CL21" i="1" s="1"/>
  <c r="CM21" i="1" a="1"/>
  <c r="CM21" i="1" s="1"/>
  <c r="CN21" i="1" a="1"/>
  <c r="CN21" i="1" s="1"/>
  <c r="CO21" i="1" a="1"/>
  <c r="CO21" i="1"/>
  <c r="CP21" i="1" a="1"/>
  <c r="CP21" i="1" s="1"/>
  <c r="CQ21" i="1" a="1"/>
  <c r="CQ21" i="1"/>
  <c r="CR21" i="1" a="1"/>
  <c r="CR21" i="1" s="1"/>
  <c r="CS21" i="1" a="1"/>
  <c r="CS21" i="1" s="1"/>
  <c r="CT21" i="1" a="1"/>
  <c r="CT21" i="1"/>
  <c r="CU21" i="1" a="1"/>
  <c r="CU21" i="1" s="1"/>
  <c r="CV21" i="1" a="1"/>
  <c r="CV21" i="1" s="1"/>
  <c r="CW21" i="1" a="1"/>
  <c r="CW21" i="1"/>
  <c r="CX21" i="1" a="1"/>
  <c r="CX21" i="1"/>
  <c r="CY21" i="1" a="1"/>
  <c r="CY21" i="1" s="1"/>
  <c r="CZ21" i="1" a="1"/>
  <c r="CZ21" i="1"/>
  <c r="DA21" i="1" a="1"/>
  <c r="DA21" i="1" s="1"/>
  <c r="DB21" i="1" a="1"/>
  <c r="DB21" i="1" s="1"/>
  <c r="DC21" i="1" a="1"/>
  <c r="DC21" i="1" s="1"/>
  <c r="DD21" i="1" a="1"/>
  <c r="DD21" i="1"/>
  <c r="DE21" i="1" a="1"/>
  <c r="DE21" i="1" s="1"/>
  <c r="CI22" i="1" a="1"/>
  <c r="CI22" i="1" s="1"/>
  <c r="CJ22" i="1" a="1"/>
  <c r="CJ22" i="1"/>
  <c r="CK22" i="1" a="1"/>
  <c r="CK22" i="1" s="1"/>
  <c r="CL22" i="1" a="1"/>
  <c r="CL22" i="1"/>
  <c r="CM22" i="1" a="1"/>
  <c r="CM22" i="1" s="1"/>
  <c r="CN22" i="1" a="1"/>
  <c r="CN22" i="1" s="1"/>
  <c r="CO22" i="1" a="1"/>
  <c r="CO22" i="1"/>
  <c r="CP22" i="1" a="1"/>
  <c r="CP22" i="1" s="1"/>
  <c r="CQ22" i="1" a="1"/>
  <c r="CQ22" i="1" s="1"/>
  <c r="CR22" i="1" a="1"/>
  <c r="CR22" i="1"/>
  <c r="CS22" i="1" a="1"/>
  <c r="CS22" i="1"/>
  <c r="CT22" i="1" a="1"/>
  <c r="CT22" i="1" s="1"/>
  <c r="CU22" i="1" a="1"/>
  <c r="CU22" i="1"/>
  <c r="CV22" i="1" a="1"/>
  <c r="CV22" i="1" s="1"/>
  <c r="CW22" i="1" a="1"/>
  <c r="CW22" i="1" s="1"/>
  <c r="CX22" i="1" a="1"/>
  <c r="CX22" i="1" s="1"/>
  <c r="CY22" i="1" a="1"/>
  <c r="CY22" i="1"/>
  <c r="CZ22" i="1" a="1"/>
  <c r="CZ22" i="1" s="1"/>
  <c r="DA22" i="1" a="1"/>
  <c r="DA22" i="1" s="1"/>
  <c r="DB22" i="1" a="1"/>
  <c r="DB22" i="1"/>
  <c r="DC22" i="1" a="1"/>
  <c r="DC22" i="1" s="1"/>
  <c r="DD22" i="1" a="1"/>
  <c r="DD22" i="1" s="1"/>
  <c r="DE22" i="1" a="1"/>
  <c r="DE22" i="1" s="1"/>
  <c r="CI23" i="1" a="1"/>
  <c r="CI23" i="1" s="1"/>
  <c r="CJ23" i="1" a="1"/>
  <c r="CJ23" i="1" s="1"/>
  <c r="CK23" i="1" a="1"/>
  <c r="CK23" i="1" s="1"/>
  <c r="CL23" i="1" a="1"/>
  <c r="CL23" i="1" s="1"/>
  <c r="CM23" i="1" a="1"/>
  <c r="CM23" i="1"/>
  <c r="CN23" i="1" a="1"/>
  <c r="CN23" i="1" s="1"/>
  <c r="CO23" i="1" a="1"/>
  <c r="CO23" i="1" s="1"/>
  <c r="CP23" i="1" a="1"/>
  <c r="CP23" i="1"/>
  <c r="CQ23" i="1" a="1"/>
  <c r="CQ23" i="1"/>
  <c r="CR23" i="1" a="1"/>
  <c r="CR23" i="1" s="1"/>
  <c r="CS23" i="1" a="1"/>
  <c r="CS23" i="1" s="1"/>
  <c r="CT23" i="1" a="1"/>
  <c r="CT23" i="1" s="1"/>
  <c r="CU23" i="1" a="1"/>
  <c r="CU23" i="1" s="1"/>
  <c r="CV23" i="1" a="1"/>
  <c r="CV23" i="1" s="1"/>
  <c r="CW23" i="1" a="1"/>
  <c r="CW23" i="1"/>
  <c r="CX23" i="1" a="1"/>
  <c r="CX23" i="1" s="1"/>
  <c r="CY23" i="1" a="1"/>
  <c r="CY23" i="1"/>
  <c r="CZ23" i="1" a="1"/>
  <c r="CZ23" i="1" s="1"/>
  <c r="DA23" i="1" a="1"/>
  <c r="DA23" i="1" s="1"/>
  <c r="DB23" i="1" a="1"/>
  <c r="DB23" i="1"/>
  <c r="DC23" i="1" a="1"/>
  <c r="DC23" i="1" s="1"/>
  <c r="DD23" i="1" a="1"/>
  <c r="DD23" i="1" s="1"/>
  <c r="DE23" i="1" a="1"/>
  <c r="DE23" i="1"/>
  <c r="CI24" i="1" a="1"/>
  <c r="CI24" i="1" s="1"/>
  <c r="CJ24" i="1" a="1"/>
  <c r="CJ24" i="1" s="1"/>
  <c r="CK24" i="1" a="1"/>
  <c r="CK24" i="1"/>
  <c r="CL24" i="1" a="1"/>
  <c r="CL24" i="1" s="1"/>
  <c r="CM24" i="1" a="1"/>
  <c r="CM24" i="1" s="1"/>
  <c r="CN24" i="1" a="1"/>
  <c r="CN24" i="1" s="1"/>
  <c r="CO24" i="1" a="1"/>
  <c r="CO24" i="1"/>
  <c r="CP24" i="1" a="1"/>
  <c r="CP24" i="1" s="1"/>
  <c r="CQ24" i="1" a="1"/>
  <c r="CQ24" i="1" s="1"/>
  <c r="CR24" i="1" a="1"/>
  <c r="CR24" i="1"/>
  <c r="CS24" i="1" a="1"/>
  <c r="CS24" i="1" s="1"/>
  <c r="CT24" i="1" a="1"/>
  <c r="CT24" i="1" s="1"/>
  <c r="CU24" i="1" a="1"/>
  <c r="CU24" i="1" s="1"/>
  <c r="CV24" i="1" a="1"/>
  <c r="CV24" i="1" s="1"/>
  <c r="CW24" i="1" a="1"/>
  <c r="CW24" i="1"/>
  <c r="CX24" i="1" a="1"/>
  <c r="CX24" i="1" s="1"/>
  <c r="CY24" i="1" a="1"/>
  <c r="CY24" i="1" s="1"/>
  <c r="CZ24" i="1" a="1"/>
  <c r="CZ24" i="1"/>
  <c r="DA24" i="1" a="1"/>
  <c r="DA24" i="1"/>
  <c r="DB24" i="1" a="1"/>
  <c r="DB24" i="1" s="1"/>
  <c r="DC24" i="1" a="1"/>
  <c r="DC24" i="1"/>
  <c r="DD24" i="1" a="1"/>
  <c r="DD24" i="1" s="1"/>
  <c r="DE24" i="1" a="1"/>
  <c r="DE24" i="1" s="1"/>
  <c r="CI25" i="1" a="1"/>
  <c r="CI25" i="1" s="1"/>
  <c r="CJ25" i="1" a="1"/>
  <c r="CJ25" i="1" s="1"/>
  <c r="CK25" i="1" a="1"/>
  <c r="CK25" i="1" s="1"/>
  <c r="CL25" i="1" a="1"/>
  <c r="CL25" i="1" s="1"/>
  <c r="CM25" i="1" a="1"/>
  <c r="CM25" i="1"/>
  <c r="CN25" i="1" a="1"/>
  <c r="CN25" i="1" s="1"/>
  <c r="CO25" i="1" a="1"/>
  <c r="CO25" i="1" s="1"/>
  <c r="CP25" i="1" a="1"/>
  <c r="CP25" i="1" s="1"/>
  <c r="CQ25" i="1" a="1"/>
  <c r="CQ25" i="1" s="1"/>
  <c r="CR25" i="1" a="1"/>
  <c r="CR25" i="1"/>
  <c r="CS25" i="1" a="1"/>
  <c r="CS25" i="1" s="1"/>
  <c r="CT25" i="1" a="1"/>
  <c r="CT25" i="1" s="1"/>
  <c r="CU25" i="1" a="1"/>
  <c r="CU25" i="1"/>
  <c r="CV25" i="1" a="1"/>
  <c r="CV25" i="1"/>
  <c r="CW25" i="1" a="1"/>
  <c r="CW25" i="1" s="1"/>
  <c r="CX25" i="1" a="1"/>
  <c r="CX25" i="1"/>
  <c r="CY25" i="1" a="1"/>
  <c r="CY25" i="1"/>
  <c r="CZ25" i="1" a="1"/>
  <c r="CZ25" i="1" s="1"/>
  <c r="DA25" i="1" a="1"/>
  <c r="DA25" i="1" s="1"/>
  <c r="DB25" i="1" a="1"/>
  <c r="DB25" i="1" s="1"/>
  <c r="DC25" i="1" a="1"/>
  <c r="DC25" i="1" s="1"/>
  <c r="DD25" i="1" a="1"/>
  <c r="DD25" i="1" s="1"/>
  <c r="DE25" i="1" a="1"/>
  <c r="DE25" i="1"/>
  <c r="CI26" i="1" a="1"/>
  <c r="CI26" i="1" s="1"/>
  <c r="CJ26" i="1" a="1"/>
  <c r="CJ26" i="1"/>
  <c r="CK26" i="1" a="1"/>
  <c r="CK26" i="1" s="1"/>
  <c r="CL26" i="1" a="1"/>
  <c r="CL26" i="1" s="1"/>
  <c r="CM26" i="1" a="1"/>
  <c r="CM26" i="1" s="1"/>
  <c r="CN26" i="1" a="1"/>
  <c r="CN26" i="1" s="1"/>
  <c r="CO26" i="1" a="1"/>
  <c r="CO26" i="1" s="1"/>
  <c r="CP26" i="1" a="1"/>
  <c r="CP26" i="1"/>
  <c r="CQ26" i="1" a="1"/>
  <c r="CQ26" i="1" s="1"/>
  <c r="CR26" i="1" a="1"/>
  <c r="CR26" i="1" s="1"/>
  <c r="CS26" i="1" a="1"/>
  <c r="CS26" i="1"/>
  <c r="CT26" i="1" a="1"/>
  <c r="CT26" i="1"/>
  <c r="CU26" i="1" a="1"/>
  <c r="CU26" i="1" s="1"/>
  <c r="CV26" i="1" a="1"/>
  <c r="CV26" i="1" s="1"/>
  <c r="CW26" i="1" a="1"/>
  <c r="CW26" i="1"/>
  <c r="CX26" i="1" a="1"/>
  <c r="CX26" i="1" s="1"/>
  <c r="CY26" i="1" a="1"/>
  <c r="CY26" i="1" s="1"/>
  <c r="CZ26" i="1" a="1"/>
  <c r="CZ26" i="1"/>
  <c r="DA26" i="1" a="1"/>
  <c r="DA26" i="1" s="1"/>
  <c r="DB26" i="1" a="1"/>
  <c r="DB26" i="1"/>
  <c r="DC26" i="1" a="1"/>
  <c r="DC26" i="1" s="1"/>
  <c r="DD26" i="1" a="1"/>
  <c r="DD26" i="1" s="1"/>
  <c r="DE26" i="1" a="1"/>
  <c r="DE26" i="1"/>
  <c r="CI27" i="1" a="1"/>
  <c r="CI27" i="1" s="1"/>
  <c r="CJ27" i="1" a="1"/>
  <c r="CJ27" i="1" s="1"/>
  <c r="CK27" i="1" a="1"/>
  <c r="CK27" i="1" s="1"/>
  <c r="CL27" i="1" a="1"/>
  <c r="CL27" i="1"/>
  <c r="CM27" i="1" a="1"/>
  <c r="CM27" i="1" s="1"/>
  <c r="CN27" i="1" a="1"/>
  <c r="CN27" i="1"/>
  <c r="CO27" i="1" a="1"/>
  <c r="CO27" i="1" s="1"/>
  <c r="CP27" i="1" a="1"/>
  <c r="CP27" i="1" s="1"/>
  <c r="CQ27" i="1" a="1"/>
  <c r="CQ27" i="1" s="1"/>
  <c r="CR27" i="1" a="1"/>
  <c r="CR27" i="1" s="1"/>
  <c r="CS27" i="1" a="1"/>
  <c r="CS27" i="1" s="1"/>
  <c r="CT27" i="1" a="1"/>
  <c r="CT27" i="1" s="1"/>
  <c r="CU27" i="1" a="1"/>
  <c r="CU27" i="1"/>
  <c r="CV27" i="1" a="1"/>
  <c r="CV27" i="1" s="1"/>
  <c r="CW27" i="1" a="1"/>
  <c r="CW27" i="1"/>
  <c r="CX27" i="1" a="1"/>
  <c r="CX27" i="1" s="1"/>
  <c r="CY27" i="1" a="1"/>
  <c r="CY27" i="1" s="1"/>
  <c r="CZ27" i="1" a="1"/>
  <c r="CZ27" i="1" s="1"/>
  <c r="DA27" i="1" a="1"/>
  <c r="DA27" i="1" s="1"/>
  <c r="DB27" i="1" a="1"/>
  <c r="DB27" i="1" s="1"/>
  <c r="DC27" i="1" a="1"/>
  <c r="DC27" i="1"/>
  <c r="DD27" i="1" a="1"/>
  <c r="DD27" i="1" s="1"/>
  <c r="DE27" i="1" a="1"/>
  <c r="DE27" i="1" s="1"/>
  <c r="CI28" i="1" a="1"/>
  <c r="CI28" i="1"/>
  <c r="CJ28" i="1" a="1"/>
  <c r="CJ28" i="1"/>
  <c r="CK28" i="1" a="1"/>
  <c r="CK28" i="1" s="1"/>
  <c r="CL28" i="1" a="1"/>
  <c r="CL28" i="1"/>
  <c r="CM28" i="1" a="1"/>
  <c r="CM28" i="1"/>
  <c r="CN28" i="1" a="1"/>
  <c r="CN28" i="1" s="1"/>
  <c r="CO28" i="1" a="1"/>
  <c r="CO28" i="1"/>
  <c r="CP28" i="1" a="1"/>
  <c r="CP28" i="1" s="1"/>
  <c r="CQ28" i="1" a="1"/>
  <c r="CQ28" i="1" s="1"/>
  <c r="CR28" i="1" a="1"/>
  <c r="CR28" i="1"/>
  <c r="CS28" i="1" a="1"/>
  <c r="CS28" i="1" s="1"/>
  <c r="CT28" i="1" a="1"/>
  <c r="CT28" i="1" s="1"/>
  <c r="CU28" i="1" a="1"/>
  <c r="CU28" i="1"/>
  <c r="CV28" i="1" a="1"/>
  <c r="CV28" i="1" s="1"/>
  <c r="CW28" i="1" a="1"/>
  <c r="CW28" i="1" s="1"/>
  <c r="CX28" i="1" a="1"/>
  <c r="CX28" i="1"/>
  <c r="CY28" i="1" a="1"/>
  <c r="CY28" i="1"/>
  <c r="CZ28" i="1" a="1"/>
  <c r="CZ28" i="1" s="1"/>
  <c r="DA28" i="1" a="1"/>
  <c r="DA28" i="1"/>
  <c r="DB28" i="1" a="1"/>
  <c r="DB28" i="1"/>
  <c r="DC28" i="1" a="1"/>
  <c r="DC28" i="1" s="1"/>
  <c r="DD28" i="1" a="1"/>
  <c r="DD28" i="1"/>
  <c r="DE28" i="1" a="1"/>
  <c r="DE28" i="1"/>
  <c r="CI29" i="1" a="1"/>
  <c r="CI29" i="1" s="1"/>
  <c r="CJ29" i="1" a="1"/>
  <c r="CJ29" i="1"/>
  <c r="CK29" i="1" a="1"/>
  <c r="CK29" i="1" s="1"/>
  <c r="CL29" i="1" a="1"/>
  <c r="CL29" i="1" s="1"/>
  <c r="CM29" i="1" a="1"/>
  <c r="CM29" i="1"/>
  <c r="CN29" i="1" a="1"/>
  <c r="CN29" i="1" s="1"/>
  <c r="CO29" i="1" a="1"/>
  <c r="CO29" i="1" s="1"/>
  <c r="CP29" i="1" a="1"/>
  <c r="CP29" i="1"/>
  <c r="CQ29" i="1" a="1"/>
  <c r="CQ29" i="1"/>
  <c r="CR29" i="1" a="1"/>
  <c r="CR29" i="1" s="1"/>
  <c r="CS29" i="1" a="1"/>
  <c r="CS29" i="1"/>
  <c r="CT29" i="1" a="1"/>
  <c r="CT29" i="1" s="1"/>
  <c r="CU29" i="1" a="1"/>
  <c r="CU29" i="1" s="1"/>
  <c r="CV29" i="1" a="1"/>
  <c r="CV29" i="1"/>
  <c r="CW29" i="1" a="1"/>
  <c r="CW29" i="1"/>
  <c r="CX29" i="1" a="1"/>
  <c r="CX29" i="1" s="1"/>
  <c r="CY29" i="1" a="1"/>
  <c r="CY29" i="1"/>
  <c r="CZ29" i="1" a="1"/>
  <c r="CZ29" i="1"/>
  <c r="DA29" i="1" a="1"/>
  <c r="DA29" i="1" s="1"/>
  <c r="DB29" i="1" a="1"/>
  <c r="DB29" i="1"/>
  <c r="DC29" i="1" a="1"/>
  <c r="DC29" i="1" s="1"/>
  <c r="DD29" i="1" a="1"/>
  <c r="DD29" i="1" s="1"/>
  <c r="DE29" i="1" a="1"/>
  <c r="DE29" i="1"/>
  <c r="CI30" i="1" a="1"/>
  <c r="CI30" i="1" s="1"/>
  <c r="CJ30" i="1" a="1"/>
  <c r="CJ30" i="1" s="1"/>
  <c r="CK30" i="1" a="1"/>
  <c r="CK30" i="1"/>
  <c r="CL30" i="1" a="1"/>
  <c r="CL30" i="1" s="1"/>
  <c r="CM30" i="1" a="1"/>
  <c r="CM30" i="1" s="1"/>
  <c r="CN30" i="1" a="1"/>
  <c r="CN30" i="1"/>
  <c r="CO30" i="1" a="1"/>
  <c r="CO30" i="1"/>
  <c r="CP30" i="1" a="1"/>
  <c r="CP30" i="1" s="1"/>
  <c r="CQ30" i="1" a="1"/>
  <c r="CQ30" i="1" s="1"/>
  <c r="CR30" i="1" a="1"/>
  <c r="CR30" i="1"/>
  <c r="CS30" i="1" a="1"/>
  <c r="CS30" i="1" s="1"/>
  <c r="CT30" i="1" a="1"/>
  <c r="CT30" i="1" s="1"/>
  <c r="CU30" i="1" a="1"/>
  <c r="CU30" i="1"/>
  <c r="CV30" i="1" a="1"/>
  <c r="CV30" i="1" s="1"/>
  <c r="CW30" i="1" a="1"/>
  <c r="CW30" i="1"/>
  <c r="CX30" i="1" a="1"/>
  <c r="CX30" i="1" s="1"/>
  <c r="CY30" i="1" a="1"/>
  <c r="CY30" i="1" s="1"/>
  <c r="CZ30" i="1" a="1"/>
  <c r="CZ30" i="1" s="1"/>
  <c r="DA30" i="1" a="1"/>
  <c r="DA30" i="1" s="1"/>
  <c r="DB30" i="1" a="1"/>
  <c r="DB30" i="1" s="1"/>
  <c r="DC30" i="1" a="1"/>
  <c r="DC30" i="1"/>
  <c r="DD30" i="1" a="1"/>
  <c r="DD30" i="1"/>
  <c r="DE30" i="1" a="1"/>
  <c r="DE30" i="1" s="1"/>
  <c r="CI31" i="1" a="1"/>
  <c r="CI31" i="1"/>
  <c r="CJ31" i="1" a="1"/>
  <c r="CJ31" i="1" s="1"/>
  <c r="CK31" i="1" a="1"/>
  <c r="CK31" i="1" s="1"/>
  <c r="CL31" i="1" a="1"/>
  <c r="CL31" i="1" s="1"/>
  <c r="CM31" i="1" a="1"/>
  <c r="CM31" i="1"/>
  <c r="CN31" i="1" a="1"/>
  <c r="CN31" i="1" s="1"/>
  <c r="CO31" i="1" a="1"/>
  <c r="CO31" i="1"/>
  <c r="CP31" i="1" a="1"/>
  <c r="CP31" i="1"/>
  <c r="CQ31" i="1" a="1"/>
  <c r="CQ31" i="1" s="1"/>
  <c r="CR31" i="1" a="1"/>
  <c r="CR31" i="1" s="1"/>
  <c r="CS31" i="1" a="1"/>
  <c r="CS31" i="1" s="1"/>
  <c r="CT31" i="1" a="1"/>
  <c r="CT31" i="1" s="1"/>
  <c r="CU31" i="1" a="1"/>
  <c r="CU31" i="1" s="1"/>
  <c r="CV31" i="1" a="1"/>
  <c r="CV31" i="1" s="1"/>
  <c r="CW31" i="1" a="1"/>
  <c r="CW31" i="1" s="1"/>
  <c r="CX31" i="1" a="1"/>
  <c r="CX31" i="1"/>
  <c r="CY31" i="1" a="1"/>
  <c r="CY31" i="1" s="1"/>
  <c r="CZ31" i="1" a="1"/>
  <c r="CZ31" i="1" s="1"/>
  <c r="DA31" i="1" a="1"/>
  <c r="DA31" i="1"/>
  <c r="DB31" i="1" a="1"/>
  <c r="DB31" i="1"/>
  <c r="DC31" i="1" a="1"/>
  <c r="DC31" i="1" s="1"/>
  <c r="DD31" i="1" a="1"/>
  <c r="DD31" i="1" s="1"/>
  <c r="DE31" i="1" a="1"/>
  <c r="DE31" i="1"/>
  <c r="CI32" i="1" a="1"/>
  <c r="CI32" i="1" s="1"/>
  <c r="CJ32" i="1" a="1"/>
  <c r="CJ32" i="1" s="1"/>
  <c r="CK32" i="1" a="1"/>
  <c r="CK32" i="1"/>
  <c r="CL32" i="1" a="1"/>
  <c r="CL32" i="1" s="1"/>
  <c r="CM32" i="1" a="1"/>
  <c r="CM32" i="1"/>
  <c r="CN32" i="1" a="1"/>
  <c r="CN32" i="1" s="1"/>
  <c r="CO32" i="1" a="1"/>
  <c r="CO32" i="1" s="1"/>
  <c r="CP32" i="1" a="1"/>
  <c r="CP32" i="1"/>
  <c r="CQ32" i="1" a="1"/>
  <c r="CQ32" i="1" s="1"/>
  <c r="CR32" i="1" a="1"/>
  <c r="CR32" i="1" s="1"/>
  <c r="CS32" i="1" a="1"/>
  <c r="CS32" i="1"/>
  <c r="CT32" i="1" a="1"/>
  <c r="CT32" i="1" s="1"/>
  <c r="CU32" i="1" a="1"/>
  <c r="CU32" i="1" s="1"/>
  <c r="CV32" i="1" a="1"/>
  <c r="CV32" i="1" s="1"/>
  <c r="CW32" i="1" a="1"/>
  <c r="CW32" i="1"/>
  <c r="CX32" i="1" a="1"/>
  <c r="CX32" i="1" s="1"/>
  <c r="CY32" i="1" a="1"/>
  <c r="CY32" i="1" s="1"/>
  <c r="CZ32" i="1" a="1"/>
  <c r="CZ32" i="1"/>
  <c r="DA32" i="1" a="1"/>
  <c r="DA32" i="1" s="1"/>
  <c r="DB32" i="1" a="1"/>
  <c r="DB32" i="1" s="1"/>
  <c r="DC32" i="1" a="1"/>
  <c r="DC32" i="1"/>
  <c r="DD32" i="1" a="1"/>
  <c r="DD32" i="1" s="1"/>
  <c r="DE32" i="1" a="1"/>
  <c r="DE32" i="1"/>
  <c r="CI33" i="1" a="1"/>
  <c r="CI33" i="1" s="1"/>
  <c r="CJ33" i="1" a="1"/>
  <c r="CJ33" i="1" s="1"/>
  <c r="CK33" i="1" a="1"/>
  <c r="CK33" i="1" s="1"/>
  <c r="CL33" i="1" a="1"/>
  <c r="CL33" i="1"/>
  <c r="CM33" i="1" a="1"/>
  <c r="CM33" i="1" s="1"/>
  <c r="CN33" i="1" a="1"/>
  <c r="CN33" i="1"/>
  <c r="CO33" i="1" a="1"/>
  <c r="CO33" i="1" s="1"/>
  <c r="CP33" i="1" a="1"/>
  <c r="CP33" i="1" s="1"/>
  <c r="CQ33" i="1" a="1"/>
  <c r="CQ33" i="1"/>
  <c r="CR33" i="1" a="1"/>
  <c r="CR33" i="1" s="1"/>
  <c r="CS33" i="1" a="1"/>
  <c r="CS33" i="1" s="1"/>
  <c r="CT33" i="1" a="1"/>
  <c r="CT33" i="1" s="1"/>
  <c r="CU33" i="1" a="1"/>
  <c r="CU33" i="1"/>
  <c r="CV33" i="1" a="1"/>
  <c r="CV33" i="1" s="1"/>
  <c r="CW33" i="1" a="1"/>
  <c r="CW33" i="1" s="1"/>
  <c r="CX33" i="1" a="1"/>
  <c r="CX33" i="1"/>
  <c r="CY33" i="1" a="1"/>
  <c r="CY33" i="1" s="1"/>
  <c r="CZ33" i="1" a="1"/>
  <c r="CZ33" i="1" s="1"/>
  <c r="DA33" i="1" a="1"/>
  <c r="DA33" i="1" s="1"/>
  <c r="DB33" i="1" a="1"/>
  <c r="DB33" i="1" s="1"/>
  <c r="DC33" i="1" a="1"/>
  <c r="DC33" i="1"/>
  <c r="DD33" i="1" a="1"/>
  <c r="DD33" i="1" s="1"/>
  <c r="DE33" i="1" a="1"/>
  <c r="DE33" i="1" s="1"/>
  <c r="CI34" i="1" a="1"/>
  <c r="CI34" i="1"/>
  <c r="CJ34" i="1" a="1"/>
  <c r="CJ34" i="1" s="1"/>
  <c r="CK34" i="1" a="1"/>
  <c r="CK34" i="1" s="1"/>
  <c r="CL34" i="1" a="1"/>
  <c r="CL34" i="1"/>
  <c r="CM34" i="1" a="1"/>
  <c r="CM34" i="1" s="1"/>
  <c r="CN34" i="1" a="1"/>
  <c r="CN34" i="1" s="1"/>
  <c r="CO34" i="1" a="1"/>
  <c r="CO34" i="1" s="1"/>
  <c r="CP34" i="1" a="1"/>
  <c r="CP34" i="1"/>
  <c r="CQ34" i="1" a="1"/>
  <c r="CQ34" i="1" s="1"/>
  <c r="CR34" i="1" a="1"/>
  <c r="CR34" i="1"/>
  <c r="CS34" i="1" a="1"/>
  <c r="CS34" i="1" s="1"/>
  <c r="CT34" i="1" a="1"/>
  <c r="CT34" i="1" s="1"/>
  <c r="CU34" i="1" a="1"/>
  <c r="CU34" i="1"/>
  <c r="CV34" i="1" a="1"/>
  <c r="CV34" i="1" s="1"/>
  <c r="CW34" i="1" a="1"/>
  <c r="CW34" i="1" s="1"/>
  <c r="CX34" i="1" a="1"/>
  <c r="CX34" i="1" s="1"/>
  <c r="CY34" i="1" a="1"/>
  <c r="CY34" i="1"/>
  <c r="CZ34" i="1" a="1"/>
  <c r="CZ34" i="1" s="1"/>
  <c r="DA34" i="1" a="1"/>
  <c r="DA34" i="1"/>
  <c r="DB34" i="1" a="1"/>
  <c r="DB34" i="1"/>
  <c r="DC34" i="1" a="1"/>
  <c r="DC34" i="1" s="1"/>
  <c r="DD34" i="1" a="1"/>
  <c r="DD34" i="1" s="1"/>
  <c r="DE34" i="1" a="1"/>
  <c r="DE34" i="1" s="1"/>
  <c r="CI35" i="1" a="1"/>
  <c r="CI35" i="1" s="1"/>
  <c r="CJ35" i="1" a="1"/>
  <c r="CJ35" i="1" s="1"/>
  <c r="CK35" i="1" a="1"/>
  <c r="CK35" i="1"/>
  <c r="CL35" i="1" a="1"/>
  <c r="CL35" i="1" s="1"/>
  <c r="CM35" i="1" a="1"/>
  <c r="CM35" i="1" s="1"/>
  <c r="CN35" i="1" a="1"/>
  <c r="CN35" i="1"/>
  <c r="CO35" i="1" a="1"/>
  <c r="CO35" i="1" s="1"/>
  <c r="CP35" i="1" a="1"/>
  <c r="CP35" i="1" s="1"/>
  <c r="CQ35" i="1" a="1"/>
  <c r="CQ35" i="1" s="1"/>
  <c r="CR35" i="1" a="1"/>
  <c r="CR35" i="1" s="1"/>
  <c r="CS35" i="1" a="1"/>
  <c r="CS35" i="1"/>
  <c r="CT35" i="1" a="1"/>
  <c r="CT35" i="1" s="1"/>
  <c r="CU35" i="1" a="1"/>
  <c r="CU35" i="1"/>
  <c r="CV35" i="1" a="1"/>
  <c r="CV35" i="1" s="1"/>
  <c r="CW35" i="1" a="1"/>
  <c r="CW35" i="1" s="1"/>
  <c r="CX35" i="1" a="1"/>
  <c r="CX35" i="1" s="1"/>
  <c r="CY35" i="1" a="1"/>
  <c r="CY35" i="1"/>
  <c r="CZ35" i="1" a="1"/>
  <c r="CZ35" i="1" s="1"/>
  <c r="DA35" i="1" a="1"/>
  <c r="DA35" i="1" s="1"/>
  <c r="DB35" i="1" a="1"/>
  <c r="DB35" i="1"/>
  <c r="DC35" i="1" a="1"/>
  <c r="DC35" i="1" s="1"/>
  <c r="DD35" i="1" a="1"/>
  <c r="DD35" i="1" s="1"/>
  <c r="DE35" i="1" a="1"/>
  <c r="DE35" i="1" s="1"/>
  <c r="CI36" i="1" a="1"/>
  <c r="CI36" i="1" s="1"/>
  <c r="CJ36" i="1" a="1"/>
  <c r="CJ36" i="1" s="1"/>
  <c r="CK36" i="1" a="1"/>
  <c r="CK36" i="1" s="1"/>
  <c r="CL36" i="1" a="1"/>
  <c r="CL36" i="1"/>
  <c r="CM36" i="1" a="1"/>
  <c r="CM36" i="1" s="1"/>
  <c r="CN36" i="1" a="1"/>
  <c r="CN36" i="1" s="1"/>
  <c r="CO36" i="1" a="1"/>
  <c r="CO36" i="1" s="1"/>
  <c r="CP36" i="1" a="1"/>
  <c r="CP36" i="1" s="1"/>
  <c r="CQ36" i="1" a="1"/>
  <c r="CQ36" i="1"/>
  <c r="CR36" i="1" a="1"/>
  <c r="CR36" i="1" s="1"/>
  <c r="CS36" i="1" a="1"/>
  <c r="CS36" i="1" s="1"/>
  <c r="CT36" i="1" a="1"/>
  <c r="CT36" i="1" s="1"/>
  <c r="CU36" i="1" a="1"/>
  <c r="CU36" i="1" s="1"/>
  <c r="CV36" i="1" a="1"/>
  <c r="CV36" i="1" s="1"/>
  <c r="CW36" i="1" a="1"/>
  <c r="CW36" i="1"/>
  <c r="CX36" i="1" a="1"/>
  <c r="CX36" i="1"/>
  <c r="CY36" i="1" a="1"/>
  <c r="CY36" i="1" s="1"/>
  <c r="CZ36" i="1" a="1"/>
  <c r="CZ36" i="1" s="1"/>
  <c r="DA36" i="1" a="1"/>
  <c r="DA36" i="1" s="1"/>
  <c r="DB36" i="1" a="1"/>
  <c r="DB36" i="1" s="1"/>
  <c r="DC36" i="1" a="1"/>
  <c r="DC36" i="1" s="1"/>
  <c r="DD36" i="1" a="1"/>
  <c r="DD36" i="1"/>
  <c r="DE36" i="1" a="1"/>
  <c r="DE36" i="1" s="1"/>
  <c r="CI37" i="1" a="1"/>
  <c r="CI37" i="1" s="1"/>
  <c r="CJ37" i="1" a="1"/>
  <c r="CJ37" i="1" s="1"/>
  <c r="CK37" i="1" a="1"/>
  <c r="CK37" i="1" s="1"/>
  <c r="CL37" i="1" a="1"/>
  <c r="CL37" i="1" s="1"/>
  <c r="CM37" i="1" a="1"/>
  <c r="CM37" i="1" s="1"/>
  <c r="CN37" i="1" a="1"/>
  <c r="CN37" i="1" s="1"/>
  <c r="CO37" i="1" a="1"/>
  <c r="CO37" i="1"/>
  <c r="CP37" i="1" a="1"/>
  <c r="CP37" i="1" s="1"/>
  <c r="CQ37" i="1" a="1"/>
  <c r="CQ37" i="1" s="1"/>
  <c r="CR37" i="1" a="1"/>
  <c r="CR37" i="1"/>
  <c r="CS37" i="1" a="1"/>
  <c r="CS37" i="1"/>
  <c r="CT37" i="1" a="1"/>
  <c r="CT37" i="1" s="1"/>
  <c r="CU37" i="1" a="1"/>
  <c r="CU37" i="1" s="1"/>
  <c r="CV37" i="1" a="1"/>
  <c r="CV37" i="1"/>
  <c r="CW37" i="1" a="1"/>
  <c r="CW37" i="1" s="1"/>
  <c r="CX37" i="1" a="1"/>
  <c r="CX37" i="1" s="1"/>
  <c r="CY37" i="1" a="1"/>
  <c r="CY37" i="1"/>
  <c r="CZ37" i="1" a="1"/>
  <c r="CZ37" i="1" s="1"/>
  <c r="DA37" i="1" a="1"/>
  <c r="DA37" i="1"/>
  <c r="DB37" i="1" a="1"/>
  <c r="DB37" i="1" s="1"/>
  <c r="DC37" i="1" a="1"/>
  <c r="DC37" i="1" s="1"/>
  <c r="DD37" i="1" a="1"/>
  <c r="DD37" i="1" s="1"/>
  <c r="DE37" i="1" a="1"/>
  <c r="DE37" i="1" s="1"/>
  <c r="CI38" i="1" a="1"/>
  <c r="CI38" i="1" s="1"/>
  <c r="CJ38" i="1" a="1"/>
  <c r="CJ38" i="1"/>
  <c r="CK38" i="1" a="1"/>
  <c r="CK38" i="1" s="1"/>
  <c r="CL38" i="1" a="1"/>
  <c r="CL38" i="1" s="1"/>
  <c r="CM38" i="1" a="1"/>
  <c r="CM38" i="1"/>
  <c r="CN38" i="1" a="1"/>
  <c r="CN38" i="1" s="1"/>
  <c r="CO38" i="1" a="1"/>
  <c r="CO38" i="1" s="1"/>
  <c r="CP38" i="1" a="1"/>
  <c r="CP38" i="1" s="1"/>
  <c r="CQ38" i="1" a="1"/>
  <c r="CQ38" i="1" s="1"/>
  <c r="CR38" i="1" a="1"/>
  <c r="CR38" i="1" s="1"/>
  <c r="CS38" i="1" a="1"/>
  <c r="CS38" i="1" s="1"/>
  <c r="CT38" i="1" a="1"/>
  <c r="CT38" i="1"/>
  <c r="CU38" i="1" a="1"/>
  <c r="CU38" i="1" s="1"/>
  <c r="CV38" i="1" a="1"/>
  <c r="CV38" i="1" s="1"/>
  <c r="CW38" i="1" a="1"/>
  <c r="CW38" i="1" s="1"/>
  <c r="CX38" i="1" a="1"/>
  <c r="CX38" i="1" s="1"/>
  <c r="CY38" i="1" a="1"/>
  <c r="CY38" i="1"/>
  <c r="CZ38" i="1" a="1"/>
  <c r="CZ38" i="1" s="1"/>
  <c r="DA38" i="1" a="1"/>
  <c r="DA38" i="1" s="1"/>
  <c r="DB38" i="1" a="1"/>
  <c r="DB38" i="1" s="1"/>
  <c r="DC38" i="1" a="1"/>
  <c r="DC38" i="1"/>
  <c r="DD38" i="1" a="1"/>
  <c r="DD38" i="1" s="1"/>
  <c r="DE38" i="1" a="1"/>
  <c r="DE38" i="1"/>
  <c r="CI39" i="1" a="1"/>
  <c r="CI39" i="1"/>
  <c r="CJ39" i="1" a="1"/>
  <c r="CJ39" i="1" s="1"/>
  <c r="CK39" i="1" a="1"/>
  <c r="CK39" i="1" s="1"/>
  <c r="CL39" i="1" a="1"/>
  <c r="CL39" i="1" s="1"/>
  <c r="CM39" i="1" a="1"/>
  <c r="CM39" i="1" s="1"/>
  <c r="CN39" i="1" a="1"/>
  <c r="CN39" i="1" s="1"/>
  <c r="CO39" i="1" a="1"/>
  <c r="CO39" i="1"/>
  <c r="CP39" i="1" a="1"/>
  <c r="CP39" i="1" s="1"/>
  <c r="CQ39" i="1" a="1"/>
  <c r="CQ39" i="1" s="1"/>
  <c r="CR39" i="1" a="1"/>
  <c r="CR39" i="1" s="1"/>
  <c r="CS39" i="1" a="1"/>
  <c r="CS39" i="1" s="1"/>
  <c r="CT39" i="1" a="1"/>
  <c r="CT39" i="1"/>
  <c r="CU39" i="1" a="1"/>
  <c r="CU39" i="1" s="1"/>
  <c r="CV39" i="1" a="1"/>
  <c r="CV39" i="1" s="1"/>
  <c r="CW39" i="1" a="1"/>
  <c r="CW39" i="1"/>
  <c r="CX39" i="1" a="1"/>
  <c r="CX39" i="1"/>
  <c r="CY39" i="1" a="1"/>
  <c r="CY39" i="1" s="1"/>
  <c r="CZ39" i="1" a="1"/>
  <c r="CZ39" i="1"/>
  <c r="DA39" i="1" a="1"/>
  <c r="DA39" i="1" s="1"/>
  <c r="DB39" i="1" a="1"/>
  <c r="DB39" i="1" s="1"/>
  <c r="DC39" i="1" a="1"/>
  <c r="DC39" i="1" s="1"/>
  <c r="DD39" i="1" a="1"/>
  <c r="DD39" i="1"/>
  <c r="DE39" i="1" a="1"/>
  <c r="DE39" i="1" s="1"/>
  <c r="CI40" i="1" a="1"/>
  <c r="CI40" i="1" s="1"/>
  <c r="CJ40" i="1" a="1"/>
  <c r="CJ40" i="1"/>
  <c r="CK40" i="1" a="1"/>
  <c r="CK40" i="1" s="1"/>
  <c r="CL40" i="1" a="1"/>
  <c r="CL40" i="1"/>
  <c r="CM40" i="1" a="1"/>
  <c r="CM40" i="1" s="1"/>
  <c r="CN40" i="1" a="1"/>
  <c r="CN40" i="1" s="1"/>
  <c r="CO40" i="1" a="1"/>
  <c r="CO40" i="1" s="1"/>
  <c r="CP40" i="1" a="1"/>
  <c r="CP40" i="1" s="1"/>
  <c r="CQ40" i="1" a="1"/>
  <c r="CQ40" i="1" s="1"/>
  <c r="CR40" i="1" a="1"/>
  <c r="CR40" i="1" s="1"/>
  <c r="CS40" i="1" a="1"/>
  <c r="CS40" i="1" s="1"/>
  <c r="CT40" i="1" a="1"/>
  <c r="CT40" i="1" s="1"/>
  <c r="CU40" i="1" a="1"/>
  <c r="CU40" i="1"/>
  <c r="CV40" i="1" a="1"/>
  <c r="CV40" i="1" s="1"/>
  <c r="CW40" i="1" a="1"/>
  <c r="CW40" i="1" s="1"/>
  <c r="CX40" i="1" a="1"/>
  <c r="CX40" i="1" s="1"/>
  <c r="CY40" i="1" a="1"/>
  <c r="CY40" i="1" s="1"/>
  <c r="CZ40" i="1" a="1"/>
  <c r="CZ40" i="1" s="1"/>
  <c r="DA40" i="1" a="1"/>
  <c r="DA40" i="1" s="1"/>
  <c r="DB40" i="1" a="1"/>
  <c r="DB40" i="1"/>
  <c r="DC40" i="1" a="1"/>
  <c r="DC40" i="1" s="1"/>
  <c r="DD40" i="1" a="1"/>
  <c r="DD40" i="1" s="1"/>
  <c r="DE40" i="1" a="1"/>
  <c r="DE40" i="1" s="1"/>
  <c r="CI41" i="1" a="1"/>
  <c r="CI41" i="1" s="1"/>
  <c r="CJ41" i="1" a="1"/>
  <c r="CJ41" i="1" s="1"/>
  <c r="CK41" i="1" a="1"/>
  <c r="CK41" i="1" s="1"/>
  <c r="CL41" i="1" a="1"/>
  <c r="CL41" i="1" s="1"/>
  <c r="CM41" i="1" a="1"/>
  <c r="CM41" i="1" s="1"/>
  <c r="CN41" i="1" a="1"/>
  <c r="CN41" i="1"/>
  <c r="CO41" i="1" a="1"/>
  <c r="CO41" i="1" s="1"/>
  <c r="CP41" i="1" a="1"/>
  <c r="CP41" i="1"/>
  <c r="CQ41" i="1" a="1"/>
  <c r="CQ41" i="1"/>
  <c r="CR41" i="1" a="1"/>
  <c r="CR41" i="1" s="1"/>
  <c r="CS41" i="1" a="1"/>
  <c r="CS41" i="1" s="1"/>
  <c r="CT41" i="1" a="1"/>
  <c r="CT41" i="1" s="1"/>
  <c r="CU41" i="1" a="1"/>
  <c r="CU41" i="1" s="1"/>
  <c r="CV41" i="1" a="1"/>
  <c r="CV41" i="1" s="1"/>
  <c r="CW41" i="1" a="1"/>
  <c r="CW41" i="1"/>
  <c r="CX41" i="1" a="1"/>
  <c r="CX41" i="1" s="1"/>
  <c r="CY41" i="1" a="1"/>
  <c r="CY41" i="1" s="1"/>
  <c r="CZ41" i="1" a="1"/>
  <c r="CZ41" i="1" s="1"/>
  <c r="DA41" i="1" a="1"/>
  <c r="DA41" i="1" s="1"/>
  <c r="DB41" i="1" a="1"/>
  <c r="DB41" i="1"/>
  <c r="DC41" i="1" a="1"/>
  <c r="DC41" i="1" s="1"/>
  <c r="DD41" i="1" a="1"/>
  <c r="DD41" i="1" s="1"/>
  <c r="DE41" i="1" a="1"/>
  <c r="DE41" i="1"/>
  <c r="CI42" i="1" a="1"/>
  <c r="CI42" i="1"/>
  <c r="CJ42" i="1" a="1"/>
  <c r="CJ42" i="1" s="1"/>
  <c r="CK42" i="1" a="1"/>
  <c r="CK42" i="1"/>
  <c r="CL42" i="1" a="1"/>
  <c r="CL42" i="1"/>
  <c r="CM42" i="1" a="1"/>
  <c r="CM42" i="1" s="1"/>
  <c r="CN42" i="1" a="1"/>
  <c r="CN42" i="1" s="1"/>
  <c r="CO42" i="1" a="1"/>
  <c r="CO42" i="1"/>
  <c r="CP42" i="1" a="1"/>
  <c r="CP42" i="1" s="1"/>
  <c r="CQ42" i="1" a="1"/>
  <c r="CQ42" i="1" s="1"/>
  <c r="CR42" i="1" a="1"/>
  <c r="CR42" i="1"/>
  <c r="CS42" i="1" a="1"/>
  <c r="CS42" i="1" s="1"/>
  <c r="CT42" i="1" a="1"/>
  <c r="CT42" i="1"/>
  <c r="CU42" i="1" a="1"/>
  <c r="CU42" i="1" s="1"/>
  <c r="CV42" i="1" a="1"/>
  <c r="CV42" i="1" s="1"/>
  <c r="CW42" i="1" a="1"/>
  <c r="CW42" i="1" s="1"/>
  <c r="CX42" i="1" a="1"/>
  <c r="CX42" i="1" s="1"/>
  <c r="CY42" i="1" a="1"/>
  <c r="CY42" i="1" s="1"/>
  <c r="CZ42" i="1" a="1"/>
  <c r="CZ42" i="1"/>
  <c r="DA42" i="1" a="1"/>
  <c r="DA42" i="1" s="1"/>
  <c r="DB42" i="1" a="1"/>
  <c r="DB42" i="1" s="1"/>
  <c r="DC42" i="1" a="1"/>
  <c r="DC42" i="1"/>
  <c r="DD42" i="1" a="1"/>
  <c r="DD42" i="1" s="1"/>
  <c r="DE42" i="1" a="1"/>
  <c r="DE42" i="1" s="1"/>
  <c r="CI43" i="1" a="1"/>
  <c r="CI43" i="1" s="1"/>
  <c r="CJ43" i="1" a="1"/>
  <c r="CJ43" i="1" s="1"/>
  <c r="CK43" i="1" a="1"/>
  <c r="CK43" i="1" s="1"/>
  <c r="CL43" i="1" a="1"/>
  <c r="CL43" i="1" s="1"/>
  <c r="CM43" i="1" a="1"/>
  <c r="CM43" i="1"/>
  <c r="CN43" i="1" a="1"/>
  <c r="CN43" i="1" s="1"/>
  <c r="CO43" i="1" a="1"/>
  <c r="CO43" i="1" s="1"/>
  <c r="CP43" i="1" a="1"/>
  <c r="CP43" i="1" s="1"/>
  <c r="CQ43" i="1" a="1"/>
  <c r="CQ43" i="1" s="1"/>
  <c r="CR43" i="1" a="1"/>
  <c r="CR43" i="1" s="1"/>
  <c r="CS43" i="1" a="1"/>
  <c r="CS43" i="1" s="1"/>
  <c r="CT43" i="1" a="1"/>
  <c r="CT43" i="1" s="1"/>
  <c r="CU43" i="1" a="1"/>
  <c r="CU43" i="1" s="1"/>
  <c r="CV43" i="1" a="1"/>
  <c r="CV43" i="1" s="1"/>
  <c r="CW43" i="1" a="1"/>
  <c r="CW43" i="1" s="1"/>
  <c r="CX43" i="1" a="1"/>
  <c r="CX43" i="1"/>
  <c r="CY43" i="1" a="1"/>
  <c r="CY43" i="1"/>
  <c r="CZ43" i="1" a="1"/>
  <c r="CZ43" i="1" s="1"/>
  <c r="DA43" i="1" a="1"/>
  <c r="DA43" i="1" s="1"/>
  <c r="DB43" i="1" a="1"/>
  <c r="DB43" i="1" s="1"/>
  <c r="DC43" i="1" a="1"/>
  <c r="DC43" i="1" s="1"/>
  <c r="DD43" i="1" a="1"/>
  <c r="DD43" i="1" s="1"/>
  <c r="DE43" i="1" a="1"/>
  <c r="DE43" i="1"/>
  <c r="CI44" i="1" a="1"/>
  <c r="CI44" i="1" s="1"/>
  <c r="CJ44" i="1" a="1"/>
  <c r="CJ44" i="1" s="1"/>
  <c r="CK44" i="1" a="1"/>
  <c r="CK44" i="1" s="1"/>
  <c r="CL44" i="1" a="1"/>
  <c r="CL44" i="1" s="1"/>
  <c r="CM44" i="1" a="1"/>
  <c r="CM44" i="1" s="1"/>
  <c r="CN44" i="1" a="1"/>
  <c r="CN44" i="1" s="1"/>
  <c r="CO44" i="1" a="1"/>
  <c r="CO44" i="1" s="1"/>
  <c r="CP44" i="1" a="1"/>
  <c r="CP44" i="1"/>
  <c r="CQ44" i="1" a="1"/>
  <c r="CQ44" i="1" s="1"/>
  <c r="CR44" i="1" a="1"/>
  <c r="CR44" i="1" s="1"/>
  <c r="CS44" i="1" a="1"/>
  <c r="CS44" i="1"/>
  <c r="CT44" i="1" a="1"/>
  <c r="CT44" i="1"/>
  <c r="CU44" i="1" a="1"/>
  <c r="CU44" i="1" s="1"/>
  <c r="CV44" i="1" a="1"/>
  <c r="CV44" i="1" s="1"/>
  <c r="CW44" i="1" a="1"/>
  <c r="CW44" i="1"/>
  <c r="CX44" i="1" a="1"/>
  <c r="CX44" i="1" s="1"/>
  <c r="CY44" i="1" a="1"/>
  <c r="CY44" i="1" s="1"/>
  <c r="CZ44" i="1" a="1"/>
  <c r="CZ44" i="1"/>
  <c r="DA44" i="1" a="1"/>
  <c r="DA44" i="1" s="1"/>
  <c r="DB44" i="1" a="1"/>
  <c r="DB44" i="1"/>
  <c r="DC44" i="1" a="1"/>
  <c r="DC44" i="1" s="1"/>
  <c r="DD44" i="1" a="1"/>
  <c r="DD44" i="1" s="1"/>
  <c r="DE44" i="1" a="1"/>
  <c r="DE44" i="1" s="1"/>
  <c r="CI45" i="1" a="1"/>
  <c r="CI45" i="1" s="1"/>
  <c r="CJ45" i="1" a="1"/>
  <c r="CJ45" i="1" s="1"/>
  <c r="CK45" i="1" a="1"/>
  <c r="CK45" i="1"/>
  <c r="CL45" i="1" a="1"/>
  <c r="CL45" i="1" s="1"/>
  <c r="CM45" i="1" a="1"/>
  <c r="CM45" i="1" s="1"/>
  <c r="CN45" i="1" a="1"/>
  <c r="CN45" i="1"/>
  <c r="CO45" i="1" a="1"/>
  <c r="CO45" i="1" s="1"/>
  <c r="CP45" i="1" a="1"/>
  <c r="CP45" i="1" s="1"/>
  <c r="CQ45" i="1" a="1"/>
  <c r="CQ45" i="1" s="1"/>
  <c r="CR45" i="1" a="1"/>
  <c r="CR45" i="1" s="1"/>
  <c r="CS45" i="1" a="1"/>
  <c r="CS45" i="1" s="1"/>
  <c r="CT45" i="1" a="1"/>
  <c r="CT45" i="1" s="1"/>
  <c r="CU45" i="1" a="1"/>
  <c r="CU45" i="1"/>
  <c r="CV45" i="1" a="1"/>
  <c r="CV45" i="1" s="1"/>
  <c r="CW45" i="1" a="1"/>
  <c r="CW45" i="1" s="1"/>
  <c r="CX45" i="1" a="1"/>
  <c r="CX45" i="1" s="1"/>
  <c r="CY45" i="1" a="1"/>
  <c r="CY45" i="1" s="1"/>
  <c r="CZ45" i="1" a="1"/>
  <c r="CZ45" i="1"/>
  <c r="DA45" i="1" a="1"/>
  <c r="DA45" i="1" s="1"/>
  <c r="DB45" i="1" a="1"/>
  <c r="DB45" i="1" s="1"/>
  <c r="DC45" i="1" a="1"/>
  <c r="DC45" i="1" s="1"/>
  <c r="DD45" i="1" a="1"/>
  <c r="DD45" i="1"/>
  <c r="DE45" i="1" a="1"/>
  <c r="DE45" i="1" s="1"/>
  <c r="CI46" i="1" a="1"/>
  <c r="CI46" i="1"/>
  <c r="CJ46" i="1" a="1"/>
  <c r="CJ46" i="1"/>
  <c r="CK46" i="1" a="1"/>
  <c r="CK46" i="1" s="1"/>
  <c r="CL46" i="1" a="1"/>
  <c r="CL46" i="1" s="1"/>
  <c r="CM46" i="1" a="1"/>
  <c r="CM46" i="1" s="1"/>
  <c r="CN46" i="1" a="1"/>
  <c r="CN46" i="1" s="1"/>
  <c r="CO46" i="1" a="1"/>
  <c r="CO46" i="1" s="1"/>
  <c r="CP46" i="1" a="1"/>
  <c r="CP46" i="1"/>
  <c r="CQ46" i="1" a="1"/>
  <c r="CQ46" i="1" s="1"/>
  <c r="CR46" i="1" a="1"/>
  <c r="CR46" i="1" s="1"/>
  <c r="CS46" i="1" a="1"/>
  <c r="CS46" i="1" s="1"/>
  <c r="CT46" i="1" a="1"/>
  <c r="CT46" i="1" s="1"/>
  <c r="CU46" i="1" a="1"/>
  <c r="CU46" i="1"/>
  <c r="CV46" i="1" a="1"/>
  <c r="CV46" i="1" s="1"/>
  <c r="CW46" i="1" a="1"/>
  <c r="CW46" i="1" s="1"/>
  <c r="CX46" i="1" a="1"/>
  <c r="CX46" i="1"/>
  <c r="CY46" i="1" a="1"/>
  <c r="CY46" i="1"/>
  <c r="CZ46" i="1" a="1"/>
  <c r="CZ46" i="1" s="1"/>
  <c r="DA46" i="1" a="1"/>
  <c r="DA46" i="1"/>
  <c r="DB46" i="1" a="1"/>
  <c r="DB46" i="1"/>
  <c r="DC46" i="1" a="1"/>
  <c r="DC46" i="1" s="1"/>
  <c r="DD46" i="1" a="1"/>
  <c r="DD46" i="1" s="1"/>
  <c r="DE46" i="1" a="1"/>
  <c r="DE46" i="1"/>
  <c r="CI47" i="1" a="1"/>
  <c r="CI47" i="1" s="1"/>
  <c r="CJ47" i="1" a="1"/>
  <c r="CJ47" i="1" s="1"/>
  <c r="CK47" i="1" a="1"/>
  <c r="CK47" i="1"/>
  <c r="CL47" i="1" a="1"/>
  <c r="CL47" i="1" s="1"/>
  <c r="CM47" i="1" a="1"/>
  <c r="CM47" i="1"/>
  <c r="CN47" i="1" a="1"/>
  <c r="CN47" i="1"/>
  <c r="CO47" i="1" a="1"/>
  <c r="CO47" i="1" s="1"/>
  <c r="CP47" i="1" a="1"/>
  <c r="CP47" i="1"/>
  <c r="CQ47" i="1" a="1"/>
  <c r="CQ47" i="1" s="1"/>
  <c r="CR47" i="1" a="1"/>
  <c r="CR47" i="1" s="1"/>
  <c r="CS47" i="1" a="1"/>
  <c r="CS47" i="1" s="1"/>
  <c r="CT47" i="1" a="1"/>
  <c r="CT47" i="1"/>
  <c r="CU47" i="1" a="1"/>
  <c r="CU47" i="1" s="1"/>
  <c r="CV47" i="1" a="1"/>
  <c r="CV47" i="1"/>
  <c r="CW47" i="1" a="1"/>
  <c r="CW47" i="1" s="1"/>
  <c r="CX47" i="1" a="1"/>
  <c r="CX47" i="1" s="1"/>
  <c r="CY47" i="1" a="1"/>
  <c r="CY47" i="1"/>
  <c r="CZ47" i="1" a="1"/>
  <c r="CZ47" i="1" s="1"/>
  <c r="DA47" i="1" a="1"/>
  <c r="DA47" i="1" s="1"/>
  <c r="DB47" i="1" a="1"/>
  <c r="DB47" i="1" s="1"/>
  <c r="DC47" i="1" a="1"/>
  <c r="DC47" i="1"/>
  <c r="DD47" i="1" a="1"/>
  <c r="DD47" i="1" s="1"/>
  <c r="DE47" i="1" a="1"/>
  <c r="DE47" i="1" s="1"/>
  <c r="CI48" i="1" a="1"/>
  <c r="CI48" i="1" s="1"/>
  <c r="CJ48" i="1" a="1"/>
  <c r="CJ48" i="1" s="1"/>
  <c r="CK48" i="1" a="1"/>
  <c r="CK48" i="1" s="1"/>
  <c r="CL48" i="1" a="1"/>
  <c r="CL48" i="1" s="1"/>
  <c r="CM48" i="1" a="1"/>
  <c r="CM48" i="1" s="1"/>
  <c r="CN48" i="1" a="1"/>
  <c r="CN48" i="1"/>
  <c r="CO48" i="1" a="1"/>
  <c r="CO48" i="1" s="1"/>
  <c r="CP48" i="1" a="1"/>
  <c r="CP48" i="1" s="1"/>
  <c r="CQ48" i="1" a="1"/>
  <c r="CQ48" i="1"/>
  <c r="CR48" i="1" a="1"/>
  <c r="CR48" i="1"/>
  <c r="CS48" i="1" a="1"/>
  <c r="CS48" i="1" s="1"/>
  <c r="CT48" i="1" a="1"/>
  <c r="CT48" i="1" s="1"/>
  <c r="CU48" i="1" a="1"/>
  <c r="CU48" i="1"/>
  <c r="CV48" i="1" a="1"/>
  <c r="CV48" i="1" s="1"/>
  <c r="CW48" i="1" a="1"/>
  <c r="CW48" i="1" s="1"/>
  <c r="CX48" i="1" a="1"/>
  <c r="CX48" i="1"/>
  <c r="CY48" i="1" a="1"/>
  <c r="CY48" i="1" s="1"/>
  <c r="CZ48" i="1" a="1"/>
  <c r="CZ48" i="1"/>
  <c r="DA48" i="1" a="1"/>
  <c r="DA48" i="1" s="1"/>
  <c r="DB48" i="1" a="1"/>
  <c r="DB48" i="1" s="1"/>
  <c r="DC48" i="1" a="1"/>
  <c r="DC48" i="1" s="1"/>
  <c r="DD48" i="1" a="1"/>
  <c r="DD48" i="1" s="1"/>
  <c r="DE48" i="1" a="1"/>
  <c r="DE48" i="1" s="1"/>
  <c r="CI49" i="1" a="1"/>
  <c r="CI49" i="1"/>
  <c r="CJ49" i="1" a="1"/>
  <c r="CJ49" i="1" s="1"/>
  <c r="CK49" i="1" a="1"/>
  <c r="CK49" i="1" s="1"/>
  <c r="CL49" i="1" a="1"/>
  <c r="CL49" i="1"/>
  <c r="CM49" i="1" a="1"/>
  <c r="CM49" i="1" s="1"/>
  <c r="CN49" i="1" a="1"/>
  <c r="CN49" i="1" s="1"/>
  <c r="CO49" i="1" a="1"/>
  <c r="CO49" i="1" s="1"/>
  <c r="CP49" i="1" a="1"/>
  <c r="CP49" i="1"/>
  <c r="CQ49" i="1" a="1"/>
  <c r="CQ49" i="1" s="1"/>
  <c r="CR49" i="1" a="1"/>
  <c r="CR49" i="1" s="1"/>
  <c r="CS49" i="1" a="1"/>
  <c r="CS49" i="1"/>
  <c r="CT49" i="1" a="1"/>
  <c r="CT49" i="1" s="1"/>
  <c r="CU49" i="1" a="1"/>
  <c r="CU49" i="1" s="1"/>
  <c r="CV49" i="1" a="1"/>
  <c r="CV49" i="1" s="1"/>
  <c r="CW49" i="1" a="1"/>
  <c r="CW49" i="1" s="1"/>
  <c r="CX49" i="1" a="1"/>
  <c r="CX49" i="1" s="1"/>
  <c r="CY49" i="1" a="1"/>
  <c r="CY49" i="1" s="1"/>
  <c r="CZ49" i="1" a="1"/>
  <c r="CZ49" i="1" s="1"/>
  <c r="DA49" i="1" a="1"/>
  <c r="DA49" i="1" s="1"/>
  <c r="DB49" i="1" a="1"/>
  <c r="DB49" i="1" s="1"/>
  <c r="DC49" i="1" a="1"/>
  <c r="DC49" i="1" s="1"/>
  <c r="DD49" i="1" a="1"/>
  <c r="DD49" i="1"/>
  <c r="DE49" i="1" a="1"/>
  <c r="DE49" i="1"/>
  <c r="CI50" i="1" a="1"/>
  <c r="CI50" i="1" s="1"/>
  <c r="CJ50" i="1" a="1"/>
  <c r="CJ50" i="1" s="1"/>
  <c r="CK50" i="1" a="1"/>
  <c r="CK50" i="1" s="1"/>
  <c r="CL50" i="1" a="1"/>
  <c r="CL50" i="1" s="1"/>
  <c r="CM50" i="1" a="1"/>
  <c r="CM50" i="1" s="1"/>
  <c r="CN50" i="1" a="1"/>
  <c r="CN50" i="1"/>
  <c r="CO50" i="1" a="1"/>
  <c r="CO50" i="1" s="1"/>
  <c r="CP50" i="1" a="1"/>
  <c r="CP50" i="1" s="1"/>
  <c r="CQ50" i="1" a="1"/>
  <c r="CQ50" i="1" s="1"/>
  <c r="CR50" i="1" a="1"/>
  <c r="CR50" i="1" s="1"/>
  <c r="CS50" i="1" a="1"/>
  <c r="CS50" i="1" s="1"/>
  <c r="CT50" i="1" a="1"/>
  <c r="CT50" i="1" s="1"/>
  <c r="CU50" i="1" a="1"/>
  <c r="CU50" i="1" s="1"/>
  <c r="CV50" i="1" a="1"/>
  <c r="CV50" i="1"/>
  <c r="CW50" i="1" a="1"/>
  <c r="CW50" i="1" s="1"/>
  <c r="CX50" i="1" a="1"/>
  <c r="CX50" i="1" s="1"/>
  <c r="CY50" i="1" a="1"/>
  <c r="CY50" i="1"/>
  <c r="CZ50" i="1" a="1"/>
  <c r="CZ50" i="1"/>
  <c r="DA50" i="1" a="1"/>
  <c r="DA50" i="1" s="1"/>
  <c r="DB50" i="1" a="1"/>
  <c r="DB50" i="1" s="1"/>
  <c r="DC50" i="1" a="1"/>
  <c r="DC50" i="1"/>
  <c r="DD50" i="1" a="1"/>
  <c r="DD50" i="1" s="1"/>
  <c r="DE50" i="1" a="1"/>
  <c r="DE50" i="1" s="1"/>
  <c r="CI51" i="1" a="1"/>
  <c r="CI51" i="1"/>
  <c r="CJ51" i="1" a="1"/>
  <c r="CJ51" i="1" s="1"/>
  <c r="CK51" i="1" a="1"/>
  <c r="CK51" i="1"/>
  <c r="CL51" i="1" a="1"/>
  <c r="CL51" i="1" s="1"/>
  <c r="CM51" i="1" a="1"/>
  <c r="CM51" i="1" s="1"/>
  <c r="CN51" i="1" a="1"/>
  <c r="CN51" i="1" s="1"/>
  <c r="CO51" i="1" a="1"/>
  <c r="CO51" i="1" s="1"/>
  <c r="CP51" i="1" a="1"/>
  <c r="CP51" i="1" s="1"/>
  <c r="CQ51" i="1" a="1"/>
  <c r="CQ51" i="1"/>
  <c r="CR51" i="1" a="1"/>
  <c r="CR51" i="1" s="1"/>
  <c r="CS51" i="1" a="1"/>
  <c r="CS51" i="1" s="1"/>
  <c r="CT51" i="1" a="1"/>
  <c r="CT51" i="1"/>
  <c r="CU51" i="1" a="1"/>
  <c r="CU51" i="1" s="1"/>
  <c r="CV51" i="1" a="1"/>
  <c r="CV51" i="1" s="1"/>
  <c r="CW51" i="1" a="1"/>
  <c r="CW51" i="1"/>
  <c r="CX51" i="1" a="1"/>
  <c r="CX51" i="1"/>
  <c r="CY51" i="1" a="1"/>
  <c r="CY51" i="1" s="1"/>
  <c r="CZ51" i="1" a="1"/>
  <c r="CZ51" i="1" s="1"/>
  <c r="DA51" i="1" a="1"/>
  <c r="DA51" i="1"/>
  <c r="DB51" i="1" a="1"/>
  <c r="DB51" i="1" s="1"/>
  <c r="DC51" i="1" a="1"/>
  <c r="DC51" i="1" s="1"/>
  <c r="DD51" i="1" a="1"/>
  <c r="DD51" i="1"/>
  <c r="DE51" i="1" a="1"/>
  <c r="DE51" i="1" s="1"/>
  <c r="CI52" i="1" a="1"/>
  <c r="CI52" i="1"/>
  <c r="CJ52" i="1" a="1"/>
  <c r="CJ52" i="1" s="1"/>
  <c r="CK52" i="1" a="1"/>
  <c r="CK52" i="1" s="1"/>
  <c r="CL52" i="1" a="1"/>
  <c r="CL52" i="1" s="1"/>
  <c r="CM52" i="1" a="1"/>
  <c r="CM52" i="1"/>
  <c r="CN52" i="1" a="1"/>
  <c r="CN52" i="1" s="1"/>
  <c r="CO52" i="1" a="1"/>
  <c r="CO52" i="1"/>
  <c r="CP52" i="1" a="1"/>
  <c r="CP52" i="1" s="1"/>
  <c r="CQ52" i="1" a="1"/>
  <c r="CQ52" i="1" s="1"/>
  <c r="CR52" i="1" a="1"/>
  <c r="CR52" i="1"/>
  <c r="CS52" i="1" a="1"/>
  <c r="CS52" i="1" s="1"/>
  <c r="CT52" i="1" a="1"/>
  <c r="CT52" i="1" s="1"/>
  <c r="CU52" i="1" a="1"/>
  <c r="CU52" i="1" s="1"/>
  <c r="CV52" i="1" a="1"/>
  <c r="CV52" i="1"/>
  <c r="CW52" i="1" a="1"/>
  <c r="CW52" i="1" s="1"/>
  <c r="CX52" i="1" a="1"/>
  <c r="CX52" i="1" s="1"/>
  <c r="CY52" i="1" a="1"/>
  <c r="CY52" i="1"/>
  <c r="CZ52" i="1" a="1"/>
  <c r="CZ52" i="1" s="1"/>
  <c r="DA52" i="1" a="1"/>
  <c r="DA52" i="1" s="1"/>
  <c r="DB52" i="1" a="1"/>
  <c r="DB52" i="1" s="1"/>
  <c r="DC52" i="1" a="1"/>
  <c r="DC52" i="1" s="1"/>
  <c r="DD52" i="1" a="1"/>
  <c r="DD52" i="1" s="1"/>
  <c r="DE52" i="1" a="1"/>
  <c r="DE52" i="1" s="1"/>
  <c r="CI53" i="1" a="1"/>
  <c r="CI53" i="1" s="1"/>
  <c r="CJ53" i="1" a="1"/>
  <c r="CJ53" i="1"/>
  <c r="CK53" i="1" a="1"/>
  <c r="CK53" i="1"/>
  <c r="CL53" i="1" a="1"/>
  <c r="CL53" i="1" s="1"/>
  <c r="CM53" i="1" a="1"/>
  <c r="CM53" i="1" s="1"/>
  <c r="CN53" i="1" a="1"/>
  <c r="CN53" i="1" s="1"/>
  <c r="CO53" i="1" a="1"/>
  <c r="CO53" i="1" s="1"/>
  <c r="CP53" i="1" a="1"/>
  <c r="CP53" i="1" s="1"/>
  <c r="CQ53" i="1" a="1"/>
  <c r="CQ53" i="1"/>
  <c r="CR53" i="1" a="1"/>
  <c r="CR53" i="1" s="1"/>
  <c r="CS53" i="1" a="1"/>
  <c r="CS53" i="1" s="1"/>
  <c r="CT53" i="1" a="1"/>
  <c r="CT53" i="1" s="1"/>
  <c r="CU53" i="1" a="1"/>
  <c r="CU53" i="1" s="1"/>
  <c r="CV53" i="1" a="1"/>
  <c r="CV53" i="1" s="1"/>
  <c r="CW53" i="1" a="1"/>
  <c r="CW53" i="1" s="1"/>
  <c r="CX53" i="1" a="1"/>
  <c r="CX53" i="1" s="1"/>
  <c r="CY53" i="1" a="1"/>
  <c r="CY53" i="1" s="1"/>
  <c r="CZ53" i="1" a="1"/>
  <c r="CZ53" i="1" s="1"/>
  <c r="DA53" i="1" a="1"/>
  <c r="DA53" i="1" s="1"/>
  <c r="DB53" i="1" a="1"/>
  <c r="DB53" i="1"/>
  <c r="DC53" i="1" a="1"/>
  <c r="DC53" i="1" s="1"/>
  <c r="DD53" i="1" a="1"/>
  <c r="DD53" i="1" s="1"/>
  <c r="DE53" i="1" a="1"/>
  <c r="DE53" i="1" s="1"/>
  <c r="CI54" i="1" a="1"/>
  <c r="CI54" i="1"/>
  <c r="CJ54" i="1" a="1"/>
  <c r="CJ54" i="1" s="1"/>
  <c r="CK54" i="1" a="1"/>
  <c r="CK54" i="1" s="1"/>
  <c r="CL54" i="1" a="1"/>
  <c r="CL54" i="1"/>
  <c r="CM54" i="1" a="1"/>
  <c r="CM54" i="1" s="1"/>
  <c r="CN54" i="1" a="1"/>
  <c r="CN54" i="1"/>
  <c r="CO54" i="1" a="1"/>
  <c r="CO54" i="1"/>
  <c r="CP54" i="1" a="1"/>
  <c r="CP54" i="1" s="1"/>
  <c r="CQ54" i="1" a="1"/>
  <c r="CQ54" i="1"/>
  <c r="CR54" i="1" a="1"/>
  <c r="CR54" i="1" s="1"/>
  <c r="CS54" i="1" a="1"/>
  <c r="CS54" i="1" s="1"/>
  <c r="CT54" i="1" a="1"/>
  <c r="CT54" i="1" s="1"/>
  <c r="CU54" i="1" a="1"/>
  <c r="CU54" i="1"/>
  <c r="CV54" i="1" a="1"/>
  <c r="CV54" i="1" s="1"/>
  <c r="CW54" i="1" a="1"/>
  <c r="CW54" i="1"/>
  <c r="CX54" i="1" a="1"/>
  <c r="CX54" i="1" s="1"/>
  <c r="CY54" i="1" a="1"/>
  <c r="CY54" i="1" s="1"/>
  <c r="CZ54" i="1" a="1"/>
  <c r="CZ54" i="1" s="1"/>
  <c r="DA54" i="1" a="1"/>
  <c r="DA54" i="1"/>
  <c r="DB54" i="1" a="1"/>
  <c r="DB54" i="1" s="1"/>
  <c r="DC54" i="1" a="1"/>
  <c r="DC54" i="1" s="1"/>
  <c r="DD54" i="1" a="1"/>
  <c r="DD54" i="1"/>
  <c r="DE54" i="1" a="1"/>
  <c r="DE54" i="1" s="1"/>
  <c r="CI55" i="1" a="1"/>
  <c r="CI55" i="1" s="1"/>
  <c r="CJ55" i="1" a="1"/>
  <c r="CJ55" i="1" s="1"/>
  <c r="CK55" i="1" a="1"/>
  <c r="CK55" i="1" s="1"/>
  <c r="CL55" i="1" a="1"/>
  <c r="CL55" i="1" s="1"/>
  <c r="CM55" i="1" a="1"/>
  <c r="CM55" i="1" s="1"/>
  <c r="CN55" i="1" a="1"/>
  <c r="CN55" i="1" s="1"/>
  <c r="CO55" i="1" a="1"/>
  <c r="CO55" i="1"/>
  <c r="CP55" i="1" a="1"/>
  <c r="CP55" i="1" s="1"/>
  <c r="CQ55" i="1" a="1"/>
  <c r="CQ55" i="1" s="1"/>
  <c r="CR55" i="1" a="1"/>
  <c r="CR55" i="1"/>
  <c r="CS55" i="1" a="1"/>
  <c r="CS55" i="1" s="1"/>
  <c r="CT55" i="1" a="1"/>
  <c r="CT55" i="1" s="1"/>
  <c r="CU55" i="1" a="1"/>
  <c r="CU55" i="1" s="1"/>
  <c r="CV55" i="1" a="1"/>
  <c r="CV55" i="1" s="1"/>
  <c r="CW55" i="1" a="1"/>
  <c r="CW55" i="1" s="1"/>
  <c r="CX55" i="1" a="1"/>
  <c r="CX55" i="1" s="1"/>
  <c r="CY55" i="1" a="1"/>
  <c r="CY55" i="1"/>
  <c r="CZ55" i="1" a="1"/>
  <c r="CZ55" i="1" s="1"/>
  <c r="DA55" i="1" a="1"/>
  <c r="DA55" i="1"/>
  <c r="DB55" i="1" a="1"/>
  <c r="DB55" i="1" s="1"/>
  <c r="DC55" i="1" a="1"/>
  <c r="DC55" i="1" s="1"/>
  <c r="DD55" i="1" a="1"/>
  <c r="DD55" i="1" s="1"/>
  <c r="DE55" i="1" a="1"/>
  <c r="DE55" i="1" s="1"/>
  <c r="CI56" i="1" a="1"/>
  <c r="CI56" i="1" s="1"/>
  <c r="CJ56" i="1" a="1"/>
  <c r="CJ56" i="1"/>
  <c r="CK56" i="1" a="1"/>
  <c r="CK56" i="1" s="1"/>
  <c r="CL56" i="1" a="1"/>
  <c r="CL56" i="1" s="1"/>
  <c r="CM56" i="1" a="1"/>
  <c r="CM56" i="1"/>
  <c r="CN56" i="1" a="1"/>
  <c r="CN56" i="1"/>
  <c r="CO56" i="1" a="1"/>
  <c r="CO56" i="1" s="1"/>
  <c r="CP56" i="1" a="1"/>
  <c r="CP56" i="1"/>
  <c r="CQ56" i="1" a="1"/>
  <c r="CQ56" i="1"/>
  <c r="CR56" i="1" a="1"/>
  <c r="CR56" i="1" s="1"/>
  <c r="CS56" i="1" a="1"/>
  <c r="CS56" i="1" s="1"/>
  <c r="CT56" i="1" a="1"/>
  <c r="CT56" i="1"/>
  <c r="CU56" i="1" a="1"/>
  <c r="CU56" i="1" s="1"/>
  <c r="CV56" i="1" a="1"/>
  <c r="CV56" i="1"/>
  <c r="CW56" i="1" a="1"/>
  <c r="CW56" i="1"/>
  <c r="CX56" i="1" a="1"/>
  <c r="CX56" i="1" s="1"/>
  <c r="CY56" i="1" a="1"/>
  <c r="CY56" i="1"/>
  <c r="CZ56" i="1" a="1"/>
  <c r="CZ56" i="1" s="1"/>
  <c r="DA56" i="1" a="1"/>
  <c r="DA56" i="1" s="1"/>
  <c r="DB56" i="1" a="1"/>
  <c r="DB56" i="1"/>
  <c r="DC56" i="1" a="1"/>
  <c r="DC56" i="1"/>
  <c r="DD56" i="1" a="1"/>
  <c r="DD56" i="1" s="1"/>
  <c r="DE56" i="1" a="1"/>
  <c r="DE56" i="1"/>
  <c r="CI57" i="1" a="1"/>
  <c r="CI57" i="1" s="1"/>
  <c r="CJ57" i="1" a="1"/>
  <c r="CJ57" i="1" s="1"/>
  <c r="CK57" i="1" a="1"/>
  <c r="CK57" i="1" s="1"/>
  <c r="CL57" i="1" a="1"/>
  <c r="CL57" i="1" s="1"/>
  <c r="CM57" i="1" a="1"/>
  <c r="CM57" i="1" s="1"/>
  <c r="CN57" i="1" a="1"/>
  <c r="CN57" i="1" s="1"/>
  <c r="CO57" i="1" a="1"/>
  <c r="CO57" i="1"/>
  <c r="CP57" i="1" a="1"/>
  <c r="CP57" i="1" s="1"/>
  <c r="CQ57" i="1" a="1"/>
  <c r="CQ57" i="1"/>
  <c r="CR57" i="1" a="1"/>
  <c r="CR57" i="1" s="1"/>
  <c r="CS57" i="1" a="1"/>
  <c r="CS57" i="1"/>
  <c r="CT57" i="1" a="1"/>
  <c r="CT57" i="1" s="1"/>
  <c r="CU57" i="1" a="1"/>
  <c r="CU57" i="1" s="1"/>
  <c r="CV57" i="1" a="1"/>
  <c r="CV57" i="1"/>
  <c r="CW57" i="1" a="1"/>
  <c r="CW57" i="1" s="1"/>
  <c r="CX57" i="1" a="1"/>
  <c r="CX57" i="1" s="1"/>
  <c r="CY57" i="1" a="1"/>
  <c r="CY57" i="1" s="1"/>
  <c r="CZ57" i="1" a="1"/>
  <c r="CZ57" i="1"/>
  <c r="DA57" i="1" a="1"/>
  <c r="DA57" i="1" s="1"/>
  <c r="DB57" i="1" a="1"/>
  <c r="DB57" i="1"/>
  <c r="DC57" i="1" a="1"/>
  <c r="DC57" i="1" s="1"/>
  <c r="DD57" i="1" a="1"/>
  <c r="DD57" i="1" s="1"/>
  <c r="DE57" i="1" a="1"/>
  <c r="DE57" i="1" s="1"/>
  <c r="CI58" i="1" a="1"/>
  <c r="CI58" i="1" s="1"/>
  <c r="CJ58" i="1" a="1"/>
  <c r="CJ58" i="1" s="1"/>
  <c r="CK58" i="1" a="1"/>
  <c r="CK58" i="1" s="1"/>
  <c r="CL58" i="1" a="1"/>
  <c r="CL58" i="1"/>
  <c r="CM58" i="1" a="1"/>
  <c r="CM58" i="1" s="1"/>
  <c r="CN58" i="1" a="1"/>
  <c r="CN58" i="1" s="1"/>
  <c r="CO58" i="1" a="1"/>
  <c r="CO58" i="1" s="1"/>
  <c r="CP58" i="1" a="1"/>
  <c r="CP58" i="1" s="1"/>
  <c r="CQ58" i="1" a="1"/>
  <c r="CQ58" i="1"/>
  <c r="CR58" i="1" a="1"/>
  <c r="CR58" i="1" s="1"/>
  <c r="CS58" i="1" a="1"/>
  <c r="CS58" i="1" s="1"/>
  <c r="CT58" i="1" a="1"/>
  <c r="CT58" i="1"/>
  <c r="CU58" i="1" a="1"/>
  <c r="CU58" i="1"/>
  <c r="CV58" i="1" a="1"/>
  <c r="CV58" i="1" s="1"/>
  <c r="CW58" i="1" a="1"/>
  <c r="CW58" i="1"/>
  <c r="CX58" i="1" a="1"/>
  <c r="CX58" i="1"/>
  <c r="CY58" i="1" a="1"/>
  <c r="CY58" i="1" s="1"/>
  <c r="CZ58" i="1" a="1"/>
  <c r="CZ58" i="1" s="1"/>
  <c r="DA58" i="1" a="1"/>
  <c r="DA58" i="1" s="1"/>
  <c r="DB58" i="1" a="1"/>
  <c r="DB58" i="1" s="1"/>
  <c r="DC58" i="1" a="1"/>
  <c r="DC58" i="1" s="1"/>
  <c r="DD58" i="1" a="1"/>
  <c r="DD58" i="1"/>
  <c r="DE58" i="1" a="1"/>
  <c r="DE58" i="1" s="1"/>
  <c r="CI59" i="1" a="1"/>
  <c r="CI59" i="1"/>
  <c r="CJ59" i="1" a="1"/>
  <c r="CJ59" i="1" s="1"/>
  <c r="CK59" i="1" a="1"/>
  <c r="CK59" i="1" s="1"/>
  <c r="CL59" i="1" a="1"/>
  <c r="CL59" i="1" s="1"/>
  <c r="CM59" i="1" a="1"/>
  <c r="CM59" i="1" s="1"/>
  <c r="CN59" i="1" a="1"/>
  <c r="CN59" i="1" s="1"/>
  <c r="CO59" i="1" a="1"/>
  <c r="CO59" i="1"/>
  <c r="CP59" i="1" a="1"/>
  <c r="CP59" i="1" s="1"/>
  <c r="CQ59" i="1" a="1"/>
  <c r="CQ59" i="1" s="1"/>
  <c r="CR59" i="1" a="1"/>
  <c r="CR59" i="1"/>
  <c r="CS59" i="1" a="1"/>
  <c r="CS59" i="1"/>
  <c r="CT59" i="1" a="1"/>
  <c r="CT59" i="1" s="1"/>
  <c r="CU59" i="1" a="1"/>
  <c r="CU59" i="1" s="1"/>
  <c r="CV59" i="1" a="1"/>
  <c r="CV59" i="1" s="1"/>
  <c r="CW59" i="1" a="1"/>
  <c r="CW59" i="1" s="1"/>
  <c r="CX59" i="1" a="1"/>
  <c r="CX59" i="1" s="1"/>
  <c r="CY59" i="1" a="1"/>
  <c r="CY59" i="1"/>
  <c r="CZ59" i="1" a="1"/>
  <c r="CZ59" i="1" s="1"/>
  <c r="DA59" i="1" a="1"/>
  <c r="DA59" i="1"/>
  <c r="DB59" i="1" a="1"/>
  <c r="DB59" i="1" s="1"/>
  <c r="DC59" i="1" a="1"/>
  <c r="DC59" i="1" s="1"/>
  <c r="DD59" i="1" a="1"/>
  <c r="DD59" i="1"/>
  <c r="DE59" i="1" a="1"/>
  <c r="DE59" i="1" s="1"/>
  <c r="CI60" i="1" a="1"/>
  <c r="CI60" i="1" s="1"/>
  <c r="CJ60" i="1" a="1"/>
  <c r="CJ60" i="1" s="1"/>
  <c r="CK60" i="1" a="1"/>
  <c r="CK60" i="1"/>
  <c r="CL60" i="1" a="1"/>
  <c r="CL60" i="1" s="1"/>
  <c r="CM60" i="1" a="1"/>
  <c r="CM60" i="1"/>
  <c r="CN60" i="1" a="1"/>
  <c r="CN60" i="1" s="1"/>
  <c r="CO60" i="1" a="1"/>
  <c r="CO60" i="1" s="1"/>
  <c r="CP60" i="1" a="1"/>
  <c r="CP60" i="1" s="1"/>
  <c r="CQ60" i="1" a="1"/>
  <c r="CQ60" i="1" s="1"/>
  <c r="CR60" i="1" a="1"/>
  <c r="CR60" i="1" s="1"/>
  <c r="CS60" i="1" a="1"/>
  <c r="CS60" i="1" s="1"/>
  <c r="CT60" i="1" a="1"/>
  <c r="CT60" i="1"/>
  <c r="CU60" i="1" a="1"/>
  <c r="CU60" i="1" s="1"/>
  <c r="CV60" i="1" a="1"/>
  <c r="CV60" i="1" s="1"/>
  <c r="CW60" i="1" a="1"/>
  <c r="CW60" i="1" s="1"/>
  <c r="CX60" i="1" a="1"/>
  <c r="CX60" i="1" s="1"/>
  <c r="CY60" i="1" a="1"/>
  <c r="CY60" i="1"/>
  <c r="CZ60" i="1" a="1"/>
  <c r="CZ60" i="1" s="1"/>
  <c r="DA60" i="1" a="1"/>
  <c r="DA60" i="1" s="1"/>
  <c r="DB60" i="1" a="1"/>
  <c r="DB60" i="1"/>
  <c r="DC60" i="1" a="1"/>
  <c r="DC60" i="1"/>
  <c r="DD60" i="1" a="1"/>
  <c r="DD60" i="1" s="1"/>
  <c r="DE60" i="1" a="1"/>
  <c r="DE60" i="1"/>
  <c r="CI61" i="1" a="1"/>
  <c r="CI61" i="1"/>
  <c r="CJ61" i="1" a="1"/>
  <c r="CJ61" i="1" s="1"/>
  <c r="CK61" i="1" a="1"/>
  <c r="CK61" i="1" s="1"/>
  <c r="CL61" i="1" a="1"/>
  <c r="CL61" i="1" s="1"/>
  <c r="CM61" i="1" a="1"/>
  <c r="CM61" i="1" s="1"/>
  <c r="CN61" i="1" a="1"/>
  <c r="CN61" i="1" s="1"/>
  <c r="CO61" i="1" a="1"/>
  <c r="CO61" i="1"/>
  <c r="CP61" i="1" a="1"/>
  <c r="CP61" i="1" s="1"/>
  <c r="CQ61" i="1" a="1"/>
  <c r="CQ61" i="1"/>
  <c r="CR61" i="1" a="1"/>
  <c r="CR61" i="1" s="1"/>
  <c r="CS61" i="1" a="1"/>
  <c r="CS61" i="1" s="1"/>
  <c r="CT61" i="1" a="1"/>
  <c r="CT61" i="1" s="1"/>
  <c r="CU61" i="1" a="1"/>
  <c r="CU61" i="1" s="1"/>
  <c r="CV61" i="1" a="1"/>
  <c r="CV61" i="1" s="1"/>
  <c r="CW61" i="1" a="1"/>
  <c r="CW61" i="1" s="1"/>
  <c r="CX61" i="1" a="1"/>
  <c r="CX61" i="1" s="1"/>
  <c r="CY61" i="1" a="1"/>
  <c r="CY61" i="1" s="1"/>
  <c r="CZ61" i="1" a="1"/>
  <c r="CZ61" i="1"/>
  <c r="DA61" i="1" a="1"/>
  <c r="DA61" i="1" s="1"/>
  <c r="DB61" i="1" a="1"/>
  <c r="DB61" i="1" s="1"/>
  <c r="DC61" i="1" a="1"/>
  <c r="DC61" i="1" s="1"/>
  <c r="DD61" i="1" a="1"/>
  <c r="DD61" i="1" s="1"/>
  <c r="DE61" i="1" a="1"/>
  <c r="DE61" i="1" s="1"/>
  <c r="CI62" i="1" a="1"/>
  <c r="CI62" i="1" s="1"/>
  <c r="CJ62" i="1" a="1"/>
  <c r="CJ62" i="1"/>
  <c r="CK62" i="1" a="1"/>
  <c r="CK62" i="1" s="1"/>
  <c r="CL62" i="1" a="1"/>
  <c r="CL62" i="1"/>
  <c r="CM62" i="1" a="1"/>
  <c r="CM62" i="1" s="1"/>
  <c r="CN62" i="1" a="1"/>
  <c r="CN62" i="1" s="1"/>
  <c r="CO62" i="1" a="1"/>
  <c r="CO62" i="1"/>
  <c r="CP62" i="1" a="1"/>
  <c r="CP62" i="1" s="1"/>
  <c r="CQ62" i="1" a="1"/>
  <c r="CQ62" i="1" s="1"/>
  <c r="CR62" i="1" a="1"/>
  <c r="CR62" i="1" s="1"/>
  <c r="CS62" i="1" a="1"/>
  <c r="CS62" i="1"/>
  <c r="CT62" i="1" a="1"/>
  <c r="CT62" i="1" s="1"/>
  <c r="CU62" i="1" a="1"/>
  <c r="CU62" i="1"/>
  <c r="CV62" i="1" a="1"/>
  <c r="CV62" i="1" s="1"/>
  <c r="CW62" i="1" a="1"/>
  <c r="CW62" i="1" s="1"/>
  <c r="CX62" i="1" a="1"/>
  <c r="CX62" i="1" s="1"/>
  <c r="CY62" i="1" a="1"/>
  <c r="CY62" i="1" s="1"/>
  <c r="CZ62" i="1" a="1"/>
  <c r="CZ62" i="1" s="1"/>
  <c r="DA62" i="1" a="1"/>
  <c r="DA62" i="1" s="1"/>
  <c r="DB62" i="1" a="1"/>
  <c r="DB62" i="1"/>
  <c r="DC62" i="1" a="1"/>
  <c r="DC62" i="1" s="1"/>
  <c r="DD62" i="1" a="1"/>
  <c r="DD62" i="1" s="1"/>
  <c r="DE62" i="1" a="1"/>
  <c r="DE62" i="1" s="1"/>
  <c r="CI63" i="1" a="1"/>
  <c r="CI63" i="1" s="1"/>
  <c r="CJ63" i="1" a="1"/>
  <c r="CJ63" i="1" s="1"/>
  <c r="CK63" i="1" a="1"/>
  <c r="CK63" i="1" s="1"/>
  <c r="CL63" i="1" a="1"/>
  <c r="CL63" i="1" s="1"/>
  <c r="CM63" i="1" a="1"/>
  <c r="CM63" i="1"/>
  <c r="CN63" i="1" a="1"/>
  <c r="CN63" i="1" s="1"/>
  <c r="CO63" i="1" a="1"/>
  <c r="CO63" i="1" s="1"/>
  <c r="CP63" i="1" a="1"/>
  <c r="CP63" i="1"/>
  <c r="CQ63" i="1" a="1"/>
  <c r="CQ63" i="1"/>
  <c r="CR63" i="1" a="1"/>
  <c r="CR63" i="1" s="1"/>
  <c r="CS63" i="1" a="1"/>
  <c r="CS63" i="1" s="1"/>
  <c r="CT63" i="1" a="1"/>
  <c r="CT63" i="1" s="1"/>
  <c r="CU63" i="1" a="1"/>
  <c r="CU63" i="1" s="1"/>
  <c r="CV63" i="1" a="1"/>
  <c r="CV63" i="1" s="1"/>
  <c r="CW63" i="1" a="1"/>
  <c r="CW63" i="1"/>
  <c r="CX63" i="1" a="1"/>
  <c r="CX63" i="1" s="1"/>
  <c r="CY63" i="1" a="1"/>
  <c r="CY63" i="1"/>
  <c r="CZ63" i="1" a="1"/>
  <c r="CZ63" i="1" s="1"/>
  <c r="DA63" i="1" a="1"/>
  <c r="DA63" i="1" s="1"/>
  <c r="DB63" i="1" a="1"/>
  <c r="DB63" i="1" s="1"/>
  <c r="DC63" i="1" a="1"/>
  <c r="DC63" i="1" s="1"/>
  <c r="DD63" i="1" a="1"/>
  <c r="DD63" i="1" s="1"/>
  <c r="DE63" i="1" a="1"/>
  <c r="DE63" i="1"/>
  <c r="CI64" i="1" a="1"/>
  <c r="CI64" i="1" s="1"/>
  <c r="CJ64" i="1" a="1"/>
  <c r="CJ64" i="1" s="1"/>
  <c r="CK64" i="1" a="1"/>
  <c r="CK64" i="1"/>
  <c r="CL64" i="1" a="1"/>
  <c r="CL64" i="1"/>
  <c r="CM64" i="1" a="1"/>
  <c r="CM64" i="1" s="1"/>
  <c r="CN64" i="1" a="1"/>
  <c r="CN64" i="1" s="1"/>
  <c r="CO64" i="1" a="1"/>
  <c r="CO64" i="1" s="1"/>
  <c r="CP64" i="1" a="1"/>
  <c r="CP64" i="1" s="1"/>
  <c r="CQ64" i="1" a="1"/>
  <c r="CQ64" i="1" s="1"/>
  <c r="CR64" i="1" a="1"/>
  <c r="CR64" i="1"/>
  <c r="CS64" i="1" a="1"/>
  <c r="CS64" i="1" s="1"/>
  <c r="CT64" i="1" a="1"/>
  <c r="CT64" i="1"/>
  <c r="CU64" i="1" a="1"/>
  <c r="CU64" i="1" s="1"/>
  <c r="CV64" i="1" a="1"/>
  <c r="CV64" i="1" s="1"/>
  <c r="CW64" i="1" a="1"/>
  <c r="CW64" i="1"/>
  <c r="CX64" i="1" a="1"/>
  <c r="CX64" i="1" s="1"/>
  <c r="CY64" i="1" a="1"/>
  <c r="CY64" i="1" s="1"/>
  <c r="CZ64" i="1" a="1"/>
  <c r="CZ64" i="1" s="1"/>
  <c r="DA64" i="1" a="1"/>
  <c r="DA64" i="1"/>
  <c r="DB64" i="1" a="1"/>
  <c r="DB64" i="1" s="1"/>
  <c r="DC64" i="1" a="1"/>
  <c r="DC64" i="1"/>
  <c r="DD64" i="1" a="1"/>
  <c r="DD64" i="1" s="1"/>
  <c r="DE64" i="1" a="1"/>
  <c r="DE64" i="1" s="1"/>
  <c r="CI65" i="1" a="1"/>
  <c r="CI65" i="1" s="1"/>
  <c r="CJ65" i="1" a="1"/>
  <c r="CJ65" i="1" s="1"/>
  <c r="CK65" i="1" a="1"/>
  <c r="CK65" i="1" s="1"/>
  <c r="CL65" i="1" a="1"/>
  <c r="CL65" i="1" s="1"/>
  <c r="CM65" i="1" a="1"/>
  <c r="CM65" i="1"/>
  <c r="CN65" i="1" a="1"/>
  <c r="CN65" i="1" s="1"/>
  <c r="CO65" i="1" a="1"/>
  <c r="CO65" i="1" s="1"/>
  <c r="CP65" i="1" a="1"/>
  <c r="CP65" i="1" s="1"/>
  <c r="CQ65" i="1" a="1"/>
  <c r="CQ65" i="1" s="1"/>
  <c r="CR65" i="1" a="1"/>
  <c r="CR65" i="1"/>
  <c r="CS65" i="1" a="1"/>
  <c r="CS65" i="1" s="1"/>
  <c r="CT65" i="1" a="1"/>
  <c r="CT65" i="1" s="1"/>
  <c r="CU65" i="1" a="1"/>
  <c r="CU65" i="1"/>
  <c r="CV65" i="1" a="1"/>
  <c r="CV65" i="1"/>
  <c r="CW65" i="1" a="1"/>
  <c r="CW65" i="1" s="1"/>
  <c r="CX65" i="1" a="1"/>
  <c r="CX65" i="1"/>
  <c r="CY65" i="1" a="1"/>
  <c r="CY65" i="1"/>
  <c r="CZ65" i="1" a="1"/>
  <c r="CZ65" i="1" s="1"/>
  <c r="DA65" i="1" a="1"/>
  <c r="DA65" i="1" s="1"/>
  <c r="DB65" i="1" a="1"/>
  <c r="DB65" i="1" s="1"/>
  <c r="DC65" i="1" a="1"/>
  <c r="DC65" i="1" s="1"/>
  <c r="DD65" i="1" a="1"/>
  <c r="DD65" i="1" s="1"/>
  <c r="DE65" i="1" a="1"/>
  <c r="DE65" i="1"/>
  <c r="CI66" i="1" a="1"/>
  <c r="CI66" i="1" s="1"/>
  <c r="CJ66" i="1" a="1"/>
  <c r="CJ66" i="1"/>
  <c r="CK66" i="1" a="1"/>
  <c r="CK66" i="1" s="1"/>
  <c r="CL66" i="1" a="1"/>
  <c r="CL66" i="1" s="1"/>
  <c r="CM66" i="1" a="1"/>
  <c r="CM66" i="1" s="1"/>
  <c r="CN66" i="1" a="1"/>
  <c r="CN66" i="1" s="1"/>
  <c r="CO66" i="1" a="1"/>
  <c r="CO66" i="1" s="1"/>
  <c r="CP66" i="1" a="1"/>
  <c r="CP66" i="1"/>
  <c r="CQ66" i="1" a="1"/>
  <c r="CQ66" i="1" s="1"/>
  <c r="CR66" i="1" a="1"/>
  <c r="CR66" i="1" s="1"/>
  <c r="CS66" i="1" a="1"/>
  <c r="CS66" i="1"/>
  <c r="CT66" i="1" a="1"/>
  <c r="CT66" i="1"/>
  <c r="CU66" i="1" a="1"/>
  <c r="CU66" i="1" s="1"/>
  <c r="CV66" i="1" a="1"/>
  <c r="CV66" i="1" s="1"/>
  <c r="CW66" i="1" a="1"/>
  <c r="CW66" i="1" s="1"/>
  <c r="CX66" i="1" a="1"/>
  <c r="CX66" i="1" s="1"/>
  <c r="CY66" i="1" a="1"/>
  <c r="CY66" i="1" s="1"/>
  <c r="CZ66" i="1" a="1"/>
  <c r="CZ66" i="1"/>
  <c r="DA66" i="1" a="1"/>
  <c r="DA66" i="1" s="1"/>
  <c r="DB66" i="1" a="1"/>
  <c r="DB66" i="1"/>
  <c r="DC66" i="1" a="1"/>
  <c r="DC66" i="1" s="1"/>
  <c r="DD66" i="1" a="1"/>
  <c r="DD66" i="1" s="1"/>
  <c r="DE66" i="1" a="1"/>
  <c r="DE66" i="1"/>
  <c r="CI67" i="1" a="1"/>
  <c r="CI67" i="1" s="1"/>
  <c r="CJ67" i="1" a="1"/>
  <c r="CJ67" i="1" s="1"/>
  <c r="CK67" i="1" a="1"/>
  <c r="CK67" i="1" s="1"/>
  <c r="CL67" i="1" a="1"/>
  <c r="CL67" i="1"/>
  <c r="CM67" i="1" a="1"/>
  <c r="CM67" i="1" s="1"/>
  <c r="CN67" i="1" a="1"/>
  <c r="CN67" i="1"/>
  <c r="CO67" i="1" a="1"/>
  <c r="CO67" i="1" s="1"/>
  <c r="CP67" i="1" a="1"/>
  <c r="CP67" i="1" s="1"/>
  <c r="CQ67" i="1" a="1"/>
  <c r="CQ67" i="1" s="1"/>
  <c r="CR67" i="1" a="1"/>
  <c r="CR67" i="1" s="1"/>
  <c r="CS67" i="1" a="1"/>
  <c r="CS67" i="1" s="1"/>
  <c r="CT67" i="1" a="1"/>
  <c r="CT67" i="1" s="1"/>
  <c r="CU67" i="1" a="1"/>
  <c r="CU67" i="1"/>
  <c r="CV67" i="1" a="1"/>
  <c r="CV67" i="1" s="1"/>
  <c r="CW67" i="1" a="1"/>
  <c r="CW67" i="1" s="1"/>
  <c r="CX67" i="1" a="1"/>
  <c r="CX67" i="1" s="1"/>
  <c r="CY67" i="1" a="1"/>
  <c r="CY67" i="1" s="1"/>
  <c r="CZ67" i="1" a="1"/>
  <c r="CZ67" i="1"/>
  <c r="DA67" i="1" a="1"/>
  <c r="DA67" i="1" s="1"/>
  <c r="DB67" i="1" a="1"/>
  <c r="DB67" i="1" s="1"/>
  <c r="DC67" i="1" a="1"/>
  <c r="DC67" i="1"/>
  <c r="DD67" i="1" a="1"/>
  <c r="DD67" i="1"/>
  <c r="DE67" i="1" a="1"/>
  <c r="DE67" i="1" s="1"/>
  <c r="CI68" i="1" a="1"/>
  <c r="CI68" i="1"/>
  <c r="CJ68" i="1" a="1"/>
  <c r="CJ68" i="1"/>
  <c r="CK68" i="1" a="1"/>
  <c r="CK68" i="1" s="1"/>
  <c r="CL68" i="1" a="1"/>
  <c r="CL68" i="1" s="1"/>
  <c r="CM68" i="1" a="1"/>
  <c r="CM68" i="1" s="1"/>
  <c r="CN68" i="1" a="1"/>
  <c r="CN68" i="1" s="1"/>
  <c r="CO68" i="1" a="1"/>
  <c r="CO68" i="1" s="1"/>
  <c r="CP68" i="1" a="1"/>
  <c r="CP68" i="1"/>
  <c r="CQ68" i="1" a="1"/>
  <c r="CQ68" i="1" s="1"/>
  <c r="CR68" i="1" a="1"/>
  <c r="CR68" i="1"/>
  <c r="CS68" i="1" a="1"/>
  <c r="CS68" i="1" s="1"/>
  <c r="CT68" i="1" a="1"/>
  <c r="CT68" i="1" s="1"/>
  <c r="CU68" i="1" a="1"/>
  <c r="CU68" i="1" s="1"/>
  <c r="CV68" i="1" a="1"/>
  <c r="CV68" i="1" s="1"/>
  <c r="CW68" i="1" a="1"/>
  <c r="CW68" i="1" s="1"/>
  <c r="CX68" i="1" a="1"/>
  <c r="CX68" i="1" s="1"/>
  <c r="CY68" i="1" a="1"/>
  <c r="CY68" i="1" s="1"/>
  <c r="CZ68" i="1" a="1"/>
  <c r="CZ68" i="1" s="1"/>
  <c r="DA68" i="1" a="1"/>
  <c r="DA68" i="1"/>
  <c r="DB68" i="1" a="1"/>
  <c r="DB68" i="1" s="1"/>
  <c r="DC68" i="1" a="1"/>
  <c r="DC68" i="1" s="1"/>
  <c r="DD68" i="1" a="1"/>
  <c r="DD68" i="1" s="1"/>
  <c r="DE68" i="1" a="1"/>
  <c r="DE68" i="1" s="1"/>
  <c r="CI69" i="1" a="1"/>
  <c r="CI69" i="1" s="1"/>
  <c r="CJ69" i="1" a="1"/>
  <c r="CJ69" i="1" s="1"/>
  <c r="CK69" i="1" a="1"/>
  <c r="CK69" i="1"/>
  <c r="CL69" i="1" a="1"/>
  <c r="CL69" i="1" s="1"/>
  <c r="CM69" i="1" a="1"/>
  <c r="CM69" i="1"/>
  <c r="CN69" i="1" a="1"/>
  <c r="CN69" i="1" s="1"/>
  <c r="CO69" i="1" a="1"/>
  <c r="CO69" i="1" s="1"/>
  <c r="CP69" i="1" a="1"/>
  <c r="CP69" i="1"/>
  <c r="CQ69" i="1" a="1"/>
  <c r="CQ69" i="1" s="1"/>
  <c r="CR69" i="1" a="1"/>
  <c r="CR69" i="1" s="1"/>
  <c r="CS69" i="1" a="1"/>
  <c r="CS69" i="1" s="1"/>
  <c r="CT69" i="1" a="1"/>
  <c r="CT69" i="1"/>
  <c r="CU69" i="1" a="1"/>
  <c r="CU69" i="1" s="1"/>
  <c r="CV69" i="1" a="1"/>
  <c r="CV69" i="1"/>
  <c r="CW69" i="1" a="1"/>
  <c r="CW69" i="1" s="1"/>
  <c r="CX69" i="1" a="1"/>
  <c r="CX69" i="1" s="1"/>
  <c r="CY69" i="1" a="1"/>
  <c r="CY69" i="1" s="1"/>
  <c r="CZ69" i="1" a="1"/>
  <c r="CZ69" i="1" s="1"/>
  <c r="DA69" i="1" a="1"/>
  <c r="DA69" i="1" s="1"/>
  <c r="DB69" i="1" a="1"/>
  <c r="DB69" i="1" s="1"/>
  <c r="DC69" i="1" a="1"/>
  <c r="DC69" i="1"/>
  <c r="DD69" i="1" a="1"/>
  <c r="DD69" i="1" s="1"/>
  <c r="DE69" i="1" a="1"/>
  <c r="DE69" i="1" s="1"/>
  <c r="CI70" i="1" a="1"/>
  <c r="CI70" i="1" s="1"/>
  <c r="CJ70" i="1" a="1"/>
  <c r="CJ70" i="1" s="1"/>
  <c r="CK70" i="1" a="1"/>
  <c r="CK70" i="1" s="1"/>
  <c r="CL70" i="1" a="1"/>
  <c r="CL70" i="1" s="1"/>
  <c r="CM70" i="1" a="1"/>
  <c r="CM70" i="1" s="1"/>
  <c r="CN70" i="1" a="1"/>
  <c r="CN70" i="1"/>
  <c r="CO70" i="1" a="1"/>
  <c r="CO70" i="1" s="1"/>
  <c r="CP70" i="1" a="1"/>
  <c r="CP70" i="1" s="1"/>
  <c r="CQ70" i="1" a="1"/>
  <c r="CQ70" i="1"/>
  <c r="CR70" i="1" a="1"/>
  <c r="CR70" i="1"/>
  <c r="CS70" i="1" a="1"/>
  <c r="CS70" i="1" s="1"/>
  <c r="CT70" i="1" a="1"/>
  <c r="CT70" i="1" s="1"/>
  <c r="CU70" i="1" a="1"/>
  <c r="CU70" i="1" s="1"/>
  <c r="CV70" i="1" a="1"/>
  <c r="CV70" i="1" s="1"/>
  <c r="CW70" i="1" a="1"/>
  <c r="CW70" i="1" s="1"/>
  <c r="CX70" i="1" a="1"/>
  <c r="CX70" i="1"/>
  <c r="CY70" i="1" a="1"/>
  <c r="CY70" i="1" s="1"/>
  <c r="CZ70" i="1" a="1"/>
  <c r="CZ70" i="1"/>
  <c r="DA70" i="1" a="1"/>
  <c r="DA70" i="1" s="1"/>
  <c r="DB70" i="1" a="1"/>
  <c r="DB70" i="1" s="1"/>
  <c r="DC70" i="1" a="1"/>
  <c r="DC70" i="1" s="1"/>
  <c r="DD70" i="1" a="1"/>
  <c r="DD70" i="1" s="1"/>
  <c r="DE70" i="1" a="1"/>
  <c r="DE70" i="1" s="1"/>
  <c r="CI71" i="1" a="1"/>
  <c r="CI71" i="1"/>
  <c r="CJ71" i="1" a="1"/>
  <c r="CJ71" i="1" s="1"/>
  <c r="CK71" i="1" a="1"/>
  <c r="CK71" i="1" s="1"/>
  <c r="CL71" i="1" a="1"/>
  <c r="CL71" i="1"/>
  <c r="CM71" i="1" a="1"/>
  <c r="CM71" i="1"/>
  <c r="CN71" i="1" a="1"/>
  <c r="CN71" i="1" s="1"/>
  <c r="CO71" i="1" a="1"/>
  <c r="CO71" i="1" s="1"/>
  <c r="CP71" i="1" a="1"/>
  <c r="CP71" i="1" s="1"/>
  <c r="CQ71" i="1" a="1"/>
  <c r="CQ71" i="1" s="1"/>
  <c r="CR71" i="1" a="1"/>
  <c r="CR71" i="1" s="1"/>
  <c r="CS71" i="1" a="1"/>
  <c r="CS71" i="1"/>
  <c r="CT71" i="1" a="1"/>
  <c r="CT71" i="1" s="1"/>
  <c r="CU71" i="1" a="1"/>
  <c r="CU71" i="1"/>
  <c r="CV71" i="1" a="1"/>
  <c r="CV71" i="1" s="1"/>
  <c r="CW71" i="1" a="1"/>
  <c r="CW71" i="1" s="1"/>
  <c r="CX71" i="1" a="1"/>
  <c r="CX71" i="1"/>
  <c r="CY71" i="1" a="1"/>
  <c r="CY71" i="1" s="1"/>
  <c r="CZ71" i="1" a="1"/>
  <c r="CZ71" i="1" s="1"/>
  <c r="DA71" i="1" a="1"/>
  <c r="DA71" i="1" s="1"/>
  <c r="DB71" i="1" a="1"/>
  <c r="DB71" i="1"/>
  <c r="DC71" i="1" a="1"/>
  <c r="DC71" i="1" s="1"/>
  <c r="DD71" i="1" a="1"/>
  <c r="DD71" i="1"/>
  <c r="DE71" i="1" a="1"/>
  <c r="DE71" i="1" s="1"/>
  <c r="CI72" i="1" a="1"/>
  <c r="CI72" i="1" s="1"/>
  <c r="CJ72" i="1" a="1"/>
  <c r="CJ72" i="1" s="1"/>
  <c r="CK72" i="1" a="1"/>
  <c r="CK72" i="1" s="1"/>
  <c r="CL72" i="1" a="1"/>
  <c r="CL72" i="1" s="1"/>
  <c r="CM72" i="1" a="1"/>
  <c r="CM72" i="1" s="1"/>
  <c r="CN72" i="1" a="1"/>
  <c r="CN72" i="1"/>
  <c r="CO72" i="1" a="1"/>
  <c r="CO72" i="1" s="1"/>
  <c r="CP72" i="1" a="1"/>
  <c r="CP72" i="1" s="1"/>
  <c r="CQ72" i="1" a="1"/>
  <c r="CQ72" i="1" s="1"/>
  <c r="CR72" i="1" a="1"/>
  <c r="CR72" i="1" s="1"/>
  <c r="CS72" i="1" a="1"/>
  <c r="CS72" i="1"/>
  <c r="CT72" i="1" a="1"/>
  <c r="CT72" i="1" s="1"/>
  <c r="CU72" i="1" a="1"/>
  <c r="CU72" i="1" s="1"/>
  <c r="CV72" i="1" a="1"/>
  <c r="CV72" i="1"/>
  <c r="CW72" i="1" a="1"/>
  <c r="CW72" i="1"/>
  <c r="CX72" i="1" a="1"/>
  <c r="CX72" i="1" s="1"/>
  <c r="CY72" i="1" a="1"/>
  <c r="CY72" i="1"/>
  <c r="CZ72" i="1" a="1"/>
  <c r="CZ72" i="1"/>
  <c r="DA72" i="1" a="1"/>
  <c r="DA72" i="1" s="1"/>
  <c r="DB72" i="1" a="1"/>
  <c r="DB72" i="1" s="1"/>
  <c r="DC72" i="1" a="1"/>
  <c r="DC72" i="1" s="1"/>
  <c r="DD72" i="1" a="1"/>
  <c r="DD72" i="1" s="1"/>
  <c r="DE72" i="1" a="1"/>
  <c r="DE72" i="1" s="1"/>
  <c r="CI73" i="1" a="1"/>
  <c r="CI73" i="1"/>
  <c r="CJ73" i="1" a="1"/>
  <c r="CJ73" i="1" s="1"/>
  <c r="CK73" i="1" a="1"/>
  <c r="CK73" i="1"/>
  <c r="CL73" i="1" a="1"/>
  <c r="CL73" i="1" s="1"/>
  <c r="CM73" i="1" a="1"/>
  <c r="CM73" i="1" s="1"/>
  <c r="CN73" i="1" a="1"/>
  <c r="CN73" i="1" s="1"/>
  <c r="CO73" i="1" a="1"/>
  <c r="CO73" i="1" s="1"/>
  <c r="CP73" i="1" a="1"/>
  <c r="CP73" i="1" s="1"/>
  <c r="CQ73" i="1" a="1"/>
  <c r="CQ73" i="1"/>
  <c r="CR73" i="1" a="1"/>
  <c r="CR73" i="1" s="1"/>
  <c r="CS73" i="1" a="1"/>
  <c r="CS73" i="1" s="1"/>
  <c r="CT73" i="1" a="1"/>
  <c r="CT73" i="1"/>
  <c r="CU73" i="1" a="1"/>
  <c r="CU73" i="1"/>
  <c r="CV73" i="1" a="1"/>
  <c r="CV73" i="1" s="1"/>
  <c r="CW73" i="1" a="1"/>
  <c r="CW73" i="1" s="1"/>
  <c r="CX73" i="1" a="1"/>
  <c r="CX73" i="1" s="1"/>
  <c r="CY73" i="1" a="1"/>
  <c r="CY73" i="1" s="1"/>
  <c r="CZ73" i="1" a="1"/>
  <c r="CZ73" i="1" s="1"/>
  <c r="DA73" i="1" a="1"/>
  <c r="DA73" i="1"/>
  <c r="DB73" i="1" a="1"/>
  <c r="DB73" i="1" s="1"/>
  <c r="DC73" i="1" a="1"/>
  <c r="DC73" i="1"/>
  <c r="DD73" i="1" a="1"/>
  <c r="DD73" i="1" s="1"/>
  <c r="DE73" i="1" a="1"/>
  <c r="DE73" i="1" s="1"/>
  <c r="CI74" i="1" a="1"/>
  <c r="CI74" i="1"/>
  <c r="CJ74" i="1" a="1"/>
  <c r="CJ74" i="1" s="1"/>
  <c r="CK74" i="1" a="1"/>
  <c r="CK74" i="1" s="1"/>
  <c r="CL74" i="1" a="1"/>
  <c r="CL74" i="1" s="1"/>
  <c r="CM74" i="1" a="1"/>
  <c r="CM74" i="1"/>
  <c r="CN74" i="1" a="1"/>
  <c r="CN74" i="1" s="1"/>
  <c r="CO74" i="1" a="1"/>
  <c r="CO74" i="1"/>
  <c r="CP74" i="1" a="1"/>
  <c r="CP74" i="1" s="1"/>
  <c r="CQ74" i="1" a="1"/>
  <c r="CQ74" i="1" s="1"/>
  <c r="CR74" i="1" a="1"/>
  <c r="CR74" i="1" s="1"/>
  <c r="CS74" i="1" a="1"/>
  <c r="CS74" i="1" s="1"/>
  <c r="CT74" i="1" a="1"/>
  <c r="CT74" i="1" s="1"/>
  <c r="CU74" i="1" a="1"/>
  <c r="CU74" i="1" s="1"/>
  <c r="CV74" i="1" a="1"/>
  <c r="CV74" i="1"/>
  <c r="CW74" i="1" a="1"/>
  <c r="CW74" i="1" s="1"/>
  <c r="CX74" i="1" a="1"/>
  <c r="CX74" i="1" s="1"/>
  <c r="CY74" i="1" a="1"/>
  <c r="CY74" i="1" s="1"/>
  <c r="CZ74" i="1" a="1"/>
  <c r="CZ74" i="1" s="1"/>
  <c r="DA74" i="1" a="1"/>
  <c r="DA74" i="1"/>
  <c r="DB74" i="1" a="1"/>
  <c r="DB74" i="1" s="1"/>
  <c r="DC74" i="1" a="1"/>
  <c r="DC74" i="1" s="1"/>
  <c r="DD74" i="1" a="1"/>
  <c r="DD74" i="1"/>
  <c r="DE74" i="1" a="1"/>
  <c r="DE74" i="1"/>
  <c r="CI75" i="1" a="1"/>
  <c r="CI75" i="1" s="1"/>
  <c r="CJ75" i="1" a="1"/>
  <c r="CJ75" i="1"/>
  <c r="CK75" i="1" a="1"/>
  <c r="CK75" i="1"/>
  <c r="CL75" i="1" a="1"/>
  <c r="CL75" i="1" s="1"/>
  <c r="CM75" i="1" a="1"/>
  <c r="CM75" i="1" s="1"/>
  <c r="CN75" i="1" a="1"/>
  <c r="CN75" i="1" s="1"/>
  <c r="CO75" i="1" a="1"/>
  <c r="CO75" i="1" s="1"/>
  <c r="CP75" i="1" a="1"/>
  <c r="CP75" i="1" s="1"/>
  <c r="CQ75" i="1" a="1"/>
  <c r="CQ75" i="1"/>
  <c r="CR75" i="1" a="1"/>
  <c r="CR75" i="1" s="1"/>
  <c r="CS75" i="1" a="1"/>
  <c r="CS75" i="1"/>
  <c r="CT75" i="1" a="1"/>
  <c r="CT75" i="1" s="1"/>
  <c r="CU75" i="1" a="1"/>
  <c r="CU75" i="1" s="1"/>
  <c r="CV75" i="1" a="1"/>
  <c r="CV75" i="1" s="1"/>
  <c r="CW75" i="1" a="1"/>
  <c r="CW75" i="1" s="1"/>
  <c r="CX75" i="1" a="1"/>
  <c r="CX75" i="1" s="1"/>
  <c r="CY75" i="1" a="1"/>
  <c r="CY75" i="1" s="1"/>
  <c r="CZ75" i="1" a="1"/>
  <c r="CZ75" i="1" s="1"/>
  <c r="DA75" i="1" a="1"/>
  <c r="DA75" i="1" s="1"/>
  <c r="DB75" i="1" a="1"/>
  <c r="DB75" i="1"/>
  <c r="DC75" i="1" a="1"/>
  <c r="DC75" i="1" s="1"/>
  <c r="DD75" i="1" a="1"/>
  <c r="DD75" i="1" s="1"/>
  <c r="DE75" i="1" a="1"/>
  <c r="DE75" i="1" s="1"/>
  <c r="CI76" i="1" a="1"/>
  <c r="CI76" i="1" s="1"/>
  <c r="CJ76" i="1" a="1"/>
  <c r="CJ76" i="1" s="1"/>
  <c r="CK76" i="1" a="1"/>
  <c r="CK76" i="1" s="1"/>
  <c r="CL76" i="1" a="1"/>
  <c r="CL76" i="1"/>
  <c r="CM76" i="1" a="1"/>
  <c r="CM76" i="1" s="1"/>
  <c r="CN76" i="1" a="1"/>
  <c r="CN76" i="1"/>
  <c r="CO76" i="1" a="1"/>
  <c r="CO76" i="1" s="1"/>
  <c r="CP76" i="1" a="1"/>
  <c r="CP76" i="1" s="1"/>
  <c r="CQ76" i="1" a="1"/>
  <c r="CQ76" i="1"/>
  <c r="CR76" i="1" a="1"/>
  <c r="CR76" i="1" s="1"/>
  <c r="CS76" i="1" a="1"/>
  <c r="CS76" i="1" s="1"/>
  <c r="CT76" i="1" a="1"/>
  <c r="CT76" i="1" s="1"/>
  <c r="CU76" i="1" a="1"/>
  <c r="CU76" i="1"/>
  <c r="CV76" i="1" a="1"/>
  <c r="CV76" i="1" s="1"/>
  <c r="CW76" i="1" a="1"/>
  <c r="CW76" i="1"/>
  <c r="CX76" i="1" a="1"/>
  <c r="CX76" i="1" s="1"/>
  <c r="CY76" i="1" a="1"/>
  <c r="CY76" i="1" s="1"/>
  <c r="CZ76" i="1" a="1"/>
  <c r="CZ76" i="1" s="1"/>
  <c r="DA76" i="1" a="1"/>
  <c r="DA76" i="1" s="1"/>
  <c r="DB76" i="1" a="1"/>
  <c r="DB76" i="1" s="1"/>
  <c r="DC76" i="1" a="1"/>
  <c r="DC76" i="1" s="1"/>
  <c r="DD76" i="1" a="1"/>
  <c r="DD76" i="1"/>
  <c r="DE76" i="1" a="1"/>
  <c r="DE76" i="1" s="1"/>
  <c r="CI77" i="1" a="1"/>
  <c r="CI77" i="1" s="1"/>
  <c r="CJ77" i="1" a="1"/>
  <c r="CJ77" i="1" s="1"/>
  <c r="CK77" i="1" a="1"/>
  <c r="CK77" i="1" s="1"/>
  <c r="CL77" i="1" a="1"/>
  <c r="CL77" i="1" s="1"/>
  <c r="CM77" i="1" a="1"/>
  <c r="CM77" i="1" s="1"/>
  <c r="CN77" i="1" a="1"/>
  <c r="CN77" i="1" s="1"/>
  <c r="CO77" i="1" a="1"/>
  <c r="CO77" i="1"/>
  <c r="CP77" i="1" a="1"/>
  <c r="CP77" i="1" s="1"/>
  <c r="CQ77" i="1" a="1"/>
  <c r="CQ77" i="1" s="1"/>
  <c r="CR77" i="1" a="1"/>
  <c r="CR77" i="1"/>
  <c r="CS77" i="1" a="1"/>
  <c r="CS77" i="1"/>
  <c r="CT77" i="1" a="1"/>
  <c r="CT77" i="1" s="1"/>
  <c r="CU77" i="1" a="1"/>
  <c r="CU77" i="1" s="1"/>
  <c r="CV77" i="1" a="1"/>
  <c r="CV77" i="1" s="1"/>
  <c r="CW77" i="1" a="1"/>
  <c r="CW77" i="1" s="1"/>
  <c r="CX77" i="1" a="1"/>
  <c r="CX77" i="1" s="1"/>
  <c r="CY77" i="1" a="1"/>
  <c r="CY77" i="1"/>
  <c r="CZ77" i="1" a="1"/>
  <c r="CZ77" i="1" s="1"/>
  <c r="DA77" i="1" a="1"/>
  <c r="DA77" i="1"/>
  <c r="DB77" i="1" a="1"/>
  <c r="DB77" i="1" s="1"/>
  <c r="DC77" i="1" a="1"/>
  <c r="DC77" i="1" s="1"/>
  <c r="DD77" i="1" a="1"/>
  <c r="DD77" i="1" s="1"/>
  <c r="DE77" i="1" a="1"/>
  <c r="DE77" i="1" s="1"/>
  <c r="CI78" i="1" a="1"/>
  <c r="CI78" i="1" s="1"/>
  <c r="CJ78" i="1" a="1"/>
  <c r="CJ78" i="1"/>
  <c r="CK78" i="1" a="1"/>
  <c r="CK78" i="1" s="1"/>
  <c r="CL78" i="1" a="1"/>
  <c r="CL78" i="1" s="1"/>
  <c r="CM78" i="1" a="1"/>
  <c r="CM78" i="1"/>
  <c r="CN78" i="1" a="1"/>
  <c r="CN78" i="1"/>
  <c r="CO78" i="1" a="1"/>
  <c r="CO78" i="1" s="1"/>
  <c r="CP78" i="1" a="1"/>
  <c r="CP78" i="1" s="1"/>
  <c r="CQ78" i="1" a="1"/>
  <c r="CQ78" i="1" s="1"/>
  <c r="CR78" i="1" a="1"/>
  <c r="CR78" i="1" s="1"/>
  <c r="CS78" i="1" a="1"/>
  <c r="CS78" i="1" s="1"/>
  <c r="CT78" i="1" a="1"/>
  <c r="CT78" i="1"/>
  <c r="CU78" i="1" a="1"/>
  <c r="CU78" i="1" s="1"/>
  <c r="CV78" i="1" a="1"/>
  <c r="CV78" i="1"/>
  <c r="CW78" i="1" a="1"/>
  <c r="CW78" i="1" s="1"/>
  <c r="CX78" i="1" a="1"/>
  <c r="CX78" i="1" s="1"/>
  <c r="CY78" i="1" a="1"/>
  <c r="CY78" i="1"/>
  <c r="CZ78" i="1" a="1"/>
  <c r="CZ78" i="1" s="1"/>
  <c r="DA78" i="1" a="1"/>
  <c r="DA78" i="1" s="1"/>
  <c r="DB78" i="1" a="1"/>
  <c r="DB78" i="1" s="1"/>
  <c r="DC78" i="1" a="1"/>
  <c r="DC78" i="1"/>
  <c r="DD78" i="1" a="1"/>
  <c r="DD78" i="1" s="1"/>
  <c r="DE78" i="1" a="1"/>
  <c r="DE78" i="1"/>
  <c r="CI79" i="1" a="1"/>
  <c r="CI79" i="1" s="1"/>
  <c r="CJ79" i="1" a="1"/>
  <c r="CJ79" i="1" s="1"/>
  <c r="CK79" i="1" a="1"/>
  <c r="CK79" i="1" s="1"/>
  <c r="CL79" i="1" a="1"/>
  <c r="CL79" i="1" s="1"/>
  <c r="CM79" i="1" a="1"/>
  <c r="CM79" i="1" s="1"/>
  <c r="CN79" i="1" a="1"/>
  <c r="CN79" i="1" s="1"/>
  <c r="CO79" i="1" a="1"/>
  <c r="CO79" i="1"/>
  <c r="CP79" i="1" a="1"/>
  <c r="CP79" i="1" s="1"/>
  <c r="CQ79" i="1" a="1"/>
  <c r="CQ79" i="1" s="1"/>
  <c r="CR79" i="1" a="1"/>
  <c r="CR79" i="1" s="1"/>
  <c r="CS79" i="1" a="1"/>
  <c r="CS79" i="1" s="1"/>
  <c r="CT79" i="1" a="1"/>
  <c r="CT79" i="1"/>
  <c r="CU79" i="1" a="1"/>
  <c r="CU79" i="1" s="1"/>
  <c r="CV79" i="1" a="1"/>
  <c r="CV79" i="1" s="1"/>
  <c r="CW79" i="1" a="1"/>
  <c r="CW79" i="1"/>
  <c r="CX79" i="1" a="1"/>
  <c r="CX79" i="1"/>
  <c r="CY79" i="1" a="1"/>
  <c r="CY79" i="1" s="1"/>
  <c r="CZ79" i="1" a="1"/>
  <c r="CZ79" i="1"/>
  <c r="DA79" i="1" a="1"/>
  <c r="DA79" i="1"/>
  <c r="DB79" i="1" a="1"/>
  <c r="DB79" i="1" s="1"/>
  <c r="DC79" i="1" a="1"/>
  <c r="DC79" i="1" s="1"/>
  <c r="DD79" i="1" a="1"/>
  <c r="DD79" i="1" s="1"/>
  <c r="DE79" i="1" a="1"/>
  <c r="DE79" i="1" s="1"/>
  <c r="CI80" i="1" a="1"/>
  <c r="CI80" i="1" s="1"/>
  <c r="CJ80" i="1" a="1"/>
  <c r="CJ80" i="1"/>
  <c r="CK80" i="1" a="1"/>
  <c r="CK80" i="1" s="1"/>
  <c r="CL80" i="1" a="1"/>
  <c r="CL80" i="1"/>
  <c r="CM80" i="1" a="1"/>
  <c r="CM80" i="1" s="1"/>
  <c r="CN80" i="1" a="1"/>
  <c r="CN80" i="1" s="1"/>
  <c r="CO80" i="1" a="1"/>
  <c r="CO80" i="1" s="1"/>
  <c r="CP80" i="1" a="1"/>
  <c r="CP80" i="1" s="1"/>
  <c r="CQ80" i="1" a="1"/>
  <c r="CQ80" i="1" s="1"/>
  <c r="CR80" i="1" a="1"/>
  <c r="CR80" i="1"/>
  <c r="CS80" i="1" a="1"/>
  <c r="CS80" i="1" s="1"/>
  <c r="CT80" i="1" a="1"/>
  <c r="CT80" i="1" s="1"/>
  <c r="CU80" i="1" a="1"/>
  <c r="CU80" i="1"/>
  <c r="CV80" i="1" a="1"/>
  <c r="CV80" i="1"/>
  <c r="CW80" i="1" a="1"/>
  <c r="CW80" i="1" s="1"/>
  <c r="CX80" i="1" a="1"/>
  <c r="CX80" i="1" s="1"/>
  <c r="CY80" i="1" a="1"/>
  <c r="CY80" i="1" s="1"/>
  <c r="CZ80" i="1" a="1"/>
  <c r="CZ80" i="1" s="1"/>
  <c r="DA80" i="1" a="1"/>
  <c r="DA80" i="1" s="1"/>
  <c r="DB80" i="1" a="1"/>
  <c r="DB80" i="1"/>
  <c r="DC80" i="1" a="1"/>
  <c r="DC80" i="1" s="1"/>
  <c r="DD80" i="1" a="1"/>
  <c r="DD80" i="1"/>
  <c r="DE80" i="1" a="1"/>
  <c r="DE80" i="1" s="1"/>
  <c r="CI81" i="1" a="1"/>
  <c r="CI81" i="1" s="1"/>
  <c r="CJ81" i="1" a="1"/>
  <c r="CJ81" i="1"/>
  <c r="CK81" i="1" a="1"/>
  <c r="CK81" i="1" s="1"/>
  <c r="CL81" i="1" a="1"/>
  <c r="CL81" i="1" s="1"/>
  <c r="CM81" i="1" a="1"/>
  <c r="CM81" i="1" s="1"/>
  <c r="CN81" i="1" a="1"/>
  <c r="CN81" i="1"/>
  <c r="CO81" i="1" a="1"/>
  <c r="CO81" i="1" s="1"/>
  <c r="CP81" i="1" a="1"/>
  <c r="CP81" i="1"/>
  <c r="CQ81" i="1" a="1"/>
  <c r="CQ81" i="1" s="1"/>
  <c r="CR81" i="1" a="1"/>
  <c r="CR81" i="1" s="1"/>
  <c r="CS81" i="1" a="1"/>
  <c r="CS81" i="1" s="1"/>
  <c r="CT81" i="1" a="1"/>
  <c r="CT81" i="1" s="1"/>
  <c r="CU81" i="1" a="1"/>
  <c r="CU81" i="1" s="1"/>
  <c r="CV81" i="1" a="1"/>
  <c r="CV81" i="1" s="1"/>
  <c r="CW81" i="1" a="1"/>
  <c r="CW81" i="1"/>
  <c r="CX81" i="1" a="1"/>
  <c r="CX81" i="1" s="1"/>
  <c r="CY81" i="1" a="1"/>
  <c r="CY81" i="1" s="1"/>
  <c r="CZ81" i="1" a="1"/>
  <c r="CZ81" i="1" s="1"/>
  <c r="DA81" i="1" a="1"/>
  <c r="DA81" i="1" s="1"/>
  <c r="DB81" i="1" a="1"/>
  <c r="DB81" i="1"/>
  <c r="DC81" i="1" a="1"/>
  <c r="DC81" i="1" s="1"/>
  <c r="DD81" i="1" a="1"/>
  <c r="DD81" i="1" s="1"/>
  <c r="DE81" i="1" a="1"/>
  <c r="DE81" i="1"/>
  <c r="CI82" i="1" a="1"/>
  <c r="CI82" i="1"/>
  <c r="CJ82" i="1" a="1"/>
  <c r="CJ82" i="1" s="1"/>
  <c r="CK82" i="1" a="1"/>
  <c r="CK82" i="1"/>
  <c r="CL82" i="1" a="1"/>
  <c r="CL82" i="1"/>
  <c r="CM82" i="1" a="1"/>
  <c r="CM82" i="1" s="1"/>
  <c r="CN82" i="1" a="1"/>
  <c r="CN82" i="1" s="1"/>
  <c r="CO82" i="1" a="1"/>
  <c r="CO82" i="1" s="1"/>
  <c r="CP82" i="1" a="1"/>
  <c r="CP82" i="1" s="1"/>
  <c r="CQ82" i="1" a="1"/>
  <c r="CQ82" i="1" s="1"/>
  <c r="CR82" i="1" a="1"/>
  <c r="CR82" i="1"/>
  <c r="CS82" i="1" a="1"/>
  <c r="CS82" i="1" s="1"/>
  <c r="CT82" i="1" a="1"/>
  <c r="CT82" i="1"/>
  <c r="CU82" i="1" a="1"/>
  <c r="CU82" i="1" s="1"/>
  <c r="CV82" i="1" a="1"/>
  <c r="CV82" i="1" s="1"/>
  <c r="CW82" i="1" a="1"/>
  <c r="CW82" i="1" s="1"/>
  <c r="CX82" i="1" a="1"/>
  <c r="CX82" i="1" s="1"/>
  <c r="CY82" i="1" a="1"/>
  <c r="CY82" i="1" s="1"/>
  <c r="CZ82" i="1" a="1"/>
  <c r="CZ82" i="1" s="1"/>
  <c r="DA82" i="1" a="1"/>
  <c r="DA82" i="1" s="1"/>
  <c r="DB82" i="1" a="1"/>
  <c r="DB82" i="1" s="1"/>
  <c r="DC82" i="1" a="1"/>
  <c r="DC82" i="1"/>
  <c r="DD82" i="1" a="1"/>
  <c r="DD82" i="1" s="1"/>
  <c r="DE82" i="1" a="1"/>
  <c r="DE82" i="1" s="1"/>
  <c r="CI83" i="1" a="1"/>
  <c r="CI83" i="1" s="1"/>
  <c r="CJ83" i="1" a="1"/>
  <c r="CJ83" i="1" s="1"/>
  <c r="CK83" i="1" a="1"/>
  <c r="CK83" i="1" s="1"/>
  <c r="CL83" i="1" a="1"/>
  <c r="CL83" i="1" s="1"/>
  <c r="CM83" i="1" a="1"/>
  <c r="CM83" i="1"/>
  <c r="CN83" i="1" a="1"/>
  <c r="CN83" i="1" s="1"/>
  <c r="CO83" i="1" a="1"/>
  <c r="CO83" i="1"/>
  <c r="CP83" i="1" a="1"/>
  <c r="CP83" i="1" s="1"/>
  <c r="CQ83" i="1" a="1"/>
  <c r="CQ83" i="1" s="1"/>
  <c r="CR83" i="1" a="1"/>
  <c r="CR83" i="1"/>
  <c r="CS83" i="1" a="1"/>
  <c r="CS83" i="1" s="1"/>
  <c r="CT83" i="1" a="1"/>
  <c r="CT83" i="1" s="1"/>
  <c r="CU83" i="1" a="1"/>
  <c r="CU83" i="1" s="1"/>
  <c r="CV83" i="1" a="1"/>
  <c r="CV83" i="1"/>
  <c r="CW83" i="1" a="1"/>
  <c r="CW83" i="1" s="1"/>
  <c r="CX83" i="1" a="1"/>
  <c r="CX83" i="1"/>
  <c r="CY83" i="1" a="1"/>
  <c r="CY83" i="1" s="1"/>
  <c r="CZ83" i="1" a="1"/>
  <c r="CZ83" i="1" s="1"/>
  <c r="DA83" i="1" a="1"/>
  <c r="DA83" i="1" s="1"/>
  <c r="DB83" i="1" a="1"/>
  <c r="DB83" i="1" s="1"/>
  <c r="DC83" i="1" a="1"/>
  <c r="DC83" i="1" s="1"/>
  <c r="DD83" i="1" a="1"/>
  <c r="DD83" i="1" s="1"/>
  <c r="DE83" i="1" a="1"/>
  <c r="DE83" i="1"/>
  <c r="CI84" i="1" a="1"/>
  <c r="CI84" i="1" s="1"/>
  <c r="CJ84" i="1" a="1"/>
  <c r="CJ84" i="1" s="1"/>
  <c r="CK84" i="1" a="1"/>
  <c r="CK84" i="1" s="1"/>
  <c r="CL84" i="1" a="1"/>
  <c r="CL84" i="1" s="1"/>
  <c r="CM84" i="1" a="1"/>
  <c r="CM84" i="1" s="1"/>
  <c r="CN84" i="1" a="1"/>
  <c r="CN84" i="1" s="1"/>
  <c r="CO84" i="1" a="1"/>
  <c r="CO84" i="1" s="1"/>
  <c r="CP84" i="1" a="1"/>
  <c r="CP84" i="1"/>
  <c r="CQ84" i="1" a="1"/>
  <c r="CQ84" i="1" s="1"/>
  <c r="CR84" i="1" a="1"/>
  <c r="CR84" i="1" s="1"/>
  <c r="CS84" i="1" a="1"/>
  <c r="CS84" i="1"/>
  <c r="CT84" i="1" a="1"/>
  <c r="CT84" i="1"/>
  <c r="CU84" i="1" a="1"/>
  <c r="CU84" i="1" s="1"/>
  <c r="CV84" i="1" a="1"/>
  <c r="CV84" i="1" s="1"/>
  <c r="CW84" i="1" a="1"/>
  <c r="CW84" i="1" s="1"/>
  <c r="CX84" i="1" a="1"/>
  <c r="CX84" i="1" s="1"/>
  <c r="CY84" i="1" a="1"/>
  <c r="CY84" i="1" s="1"/>
  <c r="CZ84" i="1" a="1"/>
  <c r="CZ84" i="1"/>
  <c r="DA84" i="1" a="1"/>
  <c r="DA84" i="1" s="1"/>
  <c r="DB84" i="1" a="1"/>
  <c r="DB84" i="1"/>
  <c r="DC84" i="1" a="1"/>
  <c r="DC84" i="1" s="1"/>
  <c r="DD84" i="1" a="1"/>
  <c r="DD84" i="1" s="1"/>
  <c r="DE84" i="1" a="1"/>
  <c r="DE84" i="1" s="1"/>
  <c r="CI85" i="1" a="1"/>
  <c r="CI85" i="1" s="1"/>
  <c r="CJ85" i="1" a="1"/>
  <c r="CJ85" i="1" s="1"/>
  <c r="CK85" i="1" a="1"/>
  <c r="CK85" i="1"/>
  <c r="CL85" i="1" a="1"/>
  <c r="CL85" i="1" s="1"/>
  <c r="CM85" i="1" a="1"/>
  <c r="CM85" i="1" s="1"/>
  <c r="CN85" i="1" a="1"/>
  <c r="CN85" i="1"/>
  <c r="CO85" i="1" a="1"/>
  <c r="CO85" i="1"/>
  <c r="CP85" i="1" a="1"/>
  <c r="CP85" i="1" s="1"/>
  <c r="CQ85" i="1" a="1"/>
  <c r="CQ85" i="1" s="1"/>
  <c r="CR85" i="1" a="1"/>
  <c r="CR85" i="1" s="1"/>
  <c r="CS85" i="1" a="1"/>
  <c r="CS85" i="1" s="1"/>
  <c r="CT85" i="1" a="1"/>
  <c r="CT85" i="1" s="1"/>
  <c r="CU85" i="1" a="1"/>
  <c r="CU85" i="1"/>
  <c r="CV85" i="1" a="1"/>
  <c r="CV85" i="1" s="1"/>
  <c r="CW85" i="1" a="1"/>
  <c r="CW85" i="1"/>
  <c r="CX85" i="1" a="1"/>
  <c r="CX85" i="1" s="1"/>
  <c r="CY85" i="1" a="1"/>
  <c r="CY85" i="1" s="1"/>
  <c r="CZ85" i="1" a="1"/>
  <c r="CZ85" i="1"/>
  <c r="DA85" i="1" a="1"/>
  <c r="DA85" i="1" s="1"/>
  <c r="DB85" i="1" a="1"/>
  <c r="DB85" i="1" s="1"/>
  <c r="DC85" i="1" a="1"/>
  <c r="DC85" i="1" s="1"/>
  <c r="DD85" i="1" a="1"/>
  <c r="DD85" i="1"/>
  <c r="DE85" i="1" a="1"/>
  <c r="DE85" i="1" s="1"/>
  <c r="CI86" i="1" a="1"/>
  <c r="CI86" i="1"/>
  <c r="CJ86" i="1" a="1"/>
  <c r="CJ86" i="1" s="1"/>
  <c r="CK86" i="1" a="1"/>
  <c r="CK86" i="1" s="1"/>
  <c r="CL86" i="1" a="1"/>
  <c r="CL86" i="1"/>
  <c r="CM86" i="1" a="1"/>
  <c r="CM86" i="1" s="1"/>
  <c r="CN86" i="1" a="1"/>
  <c r="CN86" i="1" s="1"/>
  <c r="CO86" i="1" a="1"/>
  <c r="CO86" i="1" s="1"/>
  <c r="CP86" i="1" a="1"/>
  <c r="CP86" i="1"/>
  <c r="CQ86" i="1" a="1"/>
  <c r="CQ86" i="1" s="1"/>
  <c r="CR86" i="1" a="1"/>
  <c r="CR86" i="1" s="1"/>
  <c r="CS86" i="1" a="1"/>
  <c r="CS86" i="1"/>
  <c r="CT86" i="1" a="1"/>
  <c r="CT86" i="1" s="1"/>
  <c r="CU86" i="1" a="1"/>
  <c r="CU86" i="1" s="1"/>
  <c r="CV86" i="1" a="1"/>
  <c r="CV86" i="1" s="1"/>
  <c r="CW86" i="1" a="1"/>
  <c r="CW86" i="1" s="1"/>
  <c r="CX86" i="1" a="1"/>
  <c r="CX86" i="1"/>
  <c r="CY86" i="1" a="1"/>
  <c r="CY86" i="1" s="1"/>
  <c r="CZ86" i="1" a="1"/>
  <c r="CZ86" i="1" s="1"/>
  <c r="DA86" i="1" a="1"/>
  <c r="DA86" i="1"/>
  <c r="DB86" i="1" a="1"/>
  <c r="DB86" i="1"/>
  <c r="DC86" i="1" a="1"/>
  <c r="DC86" i="1" s="1"/>
  <c r="DD86" i="1" a="1"/>
  <c r="DD86" i="1"/>
  <c r="DE86" i="1" a="1"/>
  <c r="DE86" i="1"/>
  <c r="CI87" i="1" a="1"/>
  <c r="CI87" i="1" s="1"/>
  <c r="CJ87" i="1" a="1"/>
  <c r="CJ87" i="1" s="1"/>
  <c r="CK87" i="1" a="1"/>
  <c r="CK87" i="1"/>
  <c r="CL87" i="1" a="1"/>
  <c r="CL87" i="1" s="1"/>
  <c r="CM87" i="1" a="1"/>
  <c r="CM87" i="1"/>
  <c r="CN87" i="1" a="1"/>
  <c r="CN87" i="1"/>
  <c r="CO87" i="1" a="1"/>
  <c r="CO87" i="1" s="1"/>
  <c r="CP87" i="1" a="1"/>
  <c r="CP87" i="1"/>
  <c r="CQ87" i="1" a="1"/>
  <c r="CQ87" i="1" s="1"/>
  <c r="CR87" i="1" a="1"/>
  <c r="CR87" i="1" s="1"/>
  <c r="CS87" i="1" a="1"/>
  <c r="CS87" i="1"/>
  <c r="CT87" i="1" a="1"/>
  <c r="CT87" i="1"/>
  <c r="CU87" i="1" a="1"/>
  <c r="CU87" i="1" s="1"/>
  <c r="CV87" i="1" a="1"/>
  <c r="CV87" i="1"/>
  <c r="CW87" i="1" a="1"/>
  <c r="CW87" i="1" s="1"/>
  <c r="CX87" i="1" a="1"/>
  <c r="CX87" i="1" s="1"/>
  <c r="CY87" i="1" a="1"/>
  <c r="CY87" i="1"/>
  <c r="CZ87" i="1" a="1"/>
  <c r="CZ87" i="1"/>
  <c r="DA87" i="1" a="1"/>
  <c r="DA87" i="1" s="1"/>
  <c r="DB87" i="1" a="1"/>
  <c r="DB87" i="1" s="1"/>
  <c r="DC87" i="1" a="1"/>
  <c r="DC87" i="1"/>
  <c r="DD87" i="1" a="1"/>
  <c r="DD87" i="1" s="1"/>
  <c r="DE87" i="1" a="1"/>
  <c r="DE87" i="1" s="1"/>
  <c r="CI88" i="1" a="1"/>
  <c r="CI88" i="1" s="1"/>
  <c r="CJ88" i="1" a="1"/>
  <c r="CJ88" i="1" s="1"/>
  <c r="CK88" i="1" a="1"/>
  <c r="CK88" i="1" s="1"/>
  <c r="CL88" i="1" a="1"/>
  <c r="CL88" i="1" s="1"/>
  <c r="CM88" i="1" a="1"/>
  <c r="CM88" i="1" s="1"/>
  <c r="CN88" i="1" a="1"/>
  <c r="CN88" i="1"/>
  <c r="CO88" i="1" a="1"/>
  <c r="CO88" i="1" s="1"/>
  <c r="CP88" i="1" a="1"/>
  <c r="CP88" i="1" s="1"/>
  <c r="CQ88" i="1" a="1"/>
  <c r="CQ88" i="1"/>
  <c r="CR88" i="1" a="1"/>
  <c r="CR88" i="1" s="1"/>
  <c r="CS88" i="1" a="1"/>
  <c r="CS88" i="1" s="1"/>
  <c r="CT88" i="1" a="1"/>
  <c r="CT88" i="1"/>
  <c r="CU88" i="1" a="1"/>
  <c r="CU88" i="1" s="1"/>
  <c r="CV88" i="1" a="1"/>
  <c r="CV88" i="1" s="1"/>
  <c r="CW88" i="1" a="1"/>
  <c r="CW88" i="1" s="1"/>
  <c r="CX88" i="1" a="1"/>
  <c r="CX88" i="1"/>
  <c r="CY88" i="1" a="1"/>
  <c r="CY88" i="1" s="1"/>
  <c r="CZ88" i="1" a="1"/>
  <c r="CZ88" i="1" s="1"/>
  <c r="DA88" i="1" a="1"/>
  <c r="DA88" i="1"/>
  <c r="DB88" i="1" a="1"/>
  <c r="DB88" i="1" s="1"/>
  <c r="DC88" i="1" a="1"/>
  <c r="DC88" i="1"/>
  <c r="DD88" i="1" a="1"/>
  <c r="DD88" i="1" s="1"/>
  <c r="DE88" i="1" a="1"/>
  <c r="DE88" i="1" s="1"/>
  <c r="CI89" i="1" a="1"/>
  <c r="CI89" i="1" s="1"/>
  <c r="CJ89" i="1" a="1"/>
  <c r="CJ89" i="1"/>
  <c r="CK89" i="1" a="1"/>
  <c r="CK89" i="1" s="1"/>
  <c r="CL89" i="1" a="1"/>
  <c r="CL89" i="1"/>
  <c r="CM89" i="1" a="1"/>
  <c r="CM89" i="1"/>
  <c r="CN89" i="1" a="1"/>
  <c r="CN89" i="1" s="1"/>
  <c r="CO89" i="1" a="1"/>
  <c r="CO89" i="1" s="1"/>
  <c r="CP89" i="1" a="1"/>
  <c r="CP89" i="1"/>
  <c r="CQ89" i="1" a="1"/>
  <c r="CQ89" i="1" s="1"/>
  <c r="CR89" i="1" a="1"/>
  <c r="CR89" i="1" s="1"/>
  <c r="CS89" i="1" a="1"/>
  <c r="CS89" i="1"/>
  <c r="CT89" i="1" a="1"/>
  <c r="CT89" i="1" s="1"/>
  <c r="CU89" i="1" a="1"/>
  <c r="CU89" i="1" s="1"/>
  <c r="CV89" i="1" a="1"/>
  <c r="CV89" i="1" s="1"/>
  <c r="CW89" i="1" a="1"/>
  <c r="CW89" i="1" s="1"/>
  <c r="CX89" i="1" a="1"/>
  <c r="CX89" i="1" s="1"/>
  <c r="CY89" i="1" a="1"/>
  <c r="CY89" i="1" s="1"/>
  <c r="CZ89" i="1" a="1"/>
  <c r="CZ89" i="1" s="1"/>
  <c r="DA89" i="1" a="1"/>
  <c r="DA89" i="1"/>
  <c r="DB89" i="1" a="1"/>
  <c r="DB89" i="1" s="1"/>
  <c r="DC89" i="1" a="1"/>
  <c r="DC89" i="1" s="1"/>
  <c r="DD89" i="1" a="1"/>
  <c r="DD89" i="1"/>
  <c r="DE89" i="1" a="1"/>
  <c r="DE89" i="1" s="1"/>
  <c r="CI90" i="1" a="1"/>
  <c r="CI90" i="1" s="1"/>
  <c r="CJ90" i="1" a="1"/>
  <c r="CJ90" i="1" s="1"/>
  <c r="CK90" i="1" a="1"/>
  <c r="CK90" i="1" s="1"/>
  <c r="CL90" i="1" a="1"/>
  <c r="CL90" i="1" s="1"/>
  <c r="CM90" i="1" a="1"/>
  <c r="CM90" i="1" s="1"/>
  <c r="CN90" i="1" a="1"/>
  <c r="CN90" i="1"/>
  <c r="CO90" i="1" a="1"/>
  <c r="CO90" i="1" s="1"/>
  <c r="CP90" i="1" a="1"/>
  <c r="CP90" i="1"/>
  <c r="CQ90" i="1" a="1"/>
  <c r="CQ90" i="1" s="1"/>
  <c r="CR90" i="1" a="1"/>
  <c r="CR90" i="1" s="1"/>
  <c r="CS90" i="1" a="1"/>
  <c r="CS90" i="1" s="1"/>
  <c r="CT90" i="1" a="1"/>
  <c r="CT90" i="1" s="1"/>
  <c r="CU90" i="1" a="1"/>
  <c r="CU90" i="1" s="1"/>
  <c r="CV90" i="1" a="1"/>
  <c r="CV90" i="1" s="1"/>
  <c r="CW90" i="1" a="1"/>
  <c r="CW90" i="1" s="1"/>
  <c r="CX90" i="1" a="1"/>
  <c r="CX90" i="1" s="1"/>
  <c r="CY90" i="1" a="1"/>
  <c r="CY90" i="1"/>
  <c r="CZ90" i="1" a="1"/>
  <c r="CZ90" i="1"/>
  <c r="DA90" i="1" a="1"/>
  <c r="DA90" i="1" s="1"/>
  <c r="DB90" i="1" a="1"/>
  <c r="DB90" i="1" s="1"/>
  <c r="DC90" i="1" a="1"/>
  <c r="DC90" i="1" s="1"/>
  <c r="DD90" i="1" a="1"/>
  <c r="DD90" i="1" s="1"/>
  <c r="DE90" i="1" a="1"/>
  <c r="DE90" i="1" s="1"/>
  <c r="CI91" i="1" a="1"/>
  <c r="CI91" i="1"/>
  <c r="CJ91" i="1" a="1"/>
  <c r="CJ91" i="1" s="1"/>
  <c r="CK91" i="1" a="1"/>
  <c r="CK91" i="1" s="1"/>
  <c r="CL91" i="1" a="1"/>
  <c r="CL91" i="1" s="1"/>
  <c r="CM91" i="1" a="1"/>
  <c r="CM91" i="1" s="1"/>
  <c r="CN91" i="1" a="1"/>
  <c r="CN91" i="1" s="1"/>
  <c r="CO91" i="1" a="1"/>
  <c r="CO91" i="1" s="1"/>
  <c r="CP91" i="1" a="1"/>
  <c r="CP91" i="1" s="1"/>
  <c r="CQ91" i="1" a="1"/>
  <c r="CQ91" i="1"/>
  <c r="CR91" i="1" a="1"/>
  <c r="CR91" i="1" s="1"/>
  <c r="CS91" i="1" a="1"/>
  <c r="CS91" i="1" s="1"/>
  <c r="CT91" i="1" a="1"/>
  <c r="CT91" i="1"/>
  <c r="CU91" i="1" a="1"/>
  <c r="CU91" i="1"/>
  <c r="CV91" i="1" a="1"/>
  <c r="CV91" i="1" s="1"/>
  <c r="CW91" i="1" a="1"/>
  <c r="CW91" i="1" s="1"/>
  <c r="CX91" i="1" a="1"/>
  <c r="CX91" i="1"/>
  <c r="CY91" i="1" a="1"/>
  <c r="CY91" i="1" s="1"/>
  <c r="CZ91" i="1" a="1"/>
  <c r="CZ91" i="1" s="1"/>
  <c r="DA91" i="1" a="1"/>
  <c r="DA91" i="1"/>
  <c r="DB91" i="1" a="1"/>
  <c r="DB91" i="1" s="1"/>
  <c r="DC91" i="1" a="1"/>
  <c r="DC91" i="1"/>
  <c r="DD91" i="1" a="1"/>
  <c r="DD91" i="1" s="1"/>
  <c r="DE91" i="1" a="1"/>
  <c r="DE91" i="1" s="1"/>
  <c r="CI92" i="1" a="1"/>
  <c r="CI92" i="1" s="1"/>
  <c r="CJ92" i="1" a="1"/>
  <c r="CJ92" i="1" s="1"/>
  <c r="CK92" i="1" a="1"/>
  <c r="CK92" i="1" s="1"/>
  <c r="CL92" i="1" a="1"/>
  <c r="CL92" i="1"/>
  <c r="CM92" i="1" a="1"/>
  <c r="CM92" i="1" s="1"/>
  <c r="CN92" i="1" a="1"/>
  <c r="CN92" i="1" s="1"/>
  <c r="CO92" i="1" a="1"/>
  <c r="CO92" i="1"/>
  <c r="CP92" i="1" a="1"/>
  <c r="CP92" i="1" s="1"/>
  <c r="CQ92" i="1" a="1"/>
  <c r="CQ92" i="1" s="1"/>
  <c r="CR92" i="1" a="1"/>
  <c r="CR92" i="1" s="1"/>
  <c r="CS92" i="1" a="1"/>
  <c r="CS92" i="1" s="1"/>
  <c r="CT92" i="1" a="1"/>
  <c r="CT92" i="1" s="1"/>
  <c r="CU92" i="1" a="1"/>
  <c r="CU92" i="1" s="1"/>
  <c r="CV92" i="1" a="1"/>
  <c r="CV92" i="1"/>
  <c r="CW92" i="1" a="1"/>
  <c r="CW92" i="1" s="1"/>
  <c r="CX92" i="1" a="1"/>
  <c r="CX92" i="1"/>
  <c r="CY92" i="1" a="1"/>
  <c r="CY92" i="1" s="1"/>
  <c r="CZ92" i="1" a="1"/>
  <c r="CZ92" i="1" s="1"/>
  <c r="DA92" i="1" a="1"/>
  <c r="DA92" i="1" s="1"/>
  <c r="DB92" i="1" a="1"/>
  <c r="DB92" i="1" s="1"/>
  <c r="DC92" i="1" a="1"/>
  <c r="DC92" i="1" s="1"/>
  <c r="DD92" i="1" a="1"/>
  <c r="DD92" i="1" s="1"/>
  <c r="DE92" i="1" a="1"/>
  <c r="DE92" i="1"/>
  <c r="CI93" i="1" a="1"/>
  <c r="CI93" i="1" s="1"/>
  <c r="CJ93" i="1" a="1"/>
  <c r="CJ93" i="1"/>
  <c r="CK93" i="1" a="1"/>
  <c r="CK93" i="1"/>
  <c r="CL93" i="1" a="1"/>
  <c r="CL93" i="1" s="1"/>
  <c r="CM93" i="1" a="1"/>
  <c r="CM93" i="1" s="1"/>
  <c r="CN93" i="1" a="1"/>
  <c r="CN93" i="1" s="1"/>
  <c r="CO93" i="1" a="1"/>
  <c r="CO93" i="1" s="1"/>
  <c r="CP93" i="1" a="1"/>
  <c r="CP93" i="1" s="1"/>
  <c r="CQ93" i="1" a="1"/>
  <c r="CQ93" i="1"/>
  <c r="CR93" i="1" a="1"/>
  <c r="CR93" i="1" s="1"/>
  <c r="CS93" i="1" a="1"/>
  <c r="CS93" i="1" s="1"/>
  <c r="CT93" i="1" a="1"/>
  <c r="CT93" i="1" s="1"/>
  <c r="CU93" i="1" a="1"/>
  <c r="CU93" i="1" s="1"/>
  <c r="CV93" i="1" a="1"/>
  <c r="CV93" i="1"/>
  <c r="CW93" i="1" a="1"/>
  <c r="CW93" i="1" s="1"/>
  <c r="CX93" i="1" a="1"/>
  <c r="CX93" i="1" s="1"/>
  <c r="CY93" i="1" a="1"/>
  <c r="CY93" i="1"/>
  <c r="CZ93" i="1" a="1"/>
  <c r="CZ93" i="1"/>
  <c r="DA93" i="1" a="1"/>
  <c r="DA93" i="1" s="1"/>
  <c r="DB93" i="1" a="1"/>
  <c r="DB93" i="1"/>
  <c r="DC93" i="1" a="1"/>
  <c r="DC93" i="1"/>
  <c r="DD93" i="1" a="1"/>
  <c r="DD93" i="1" s="1"/>
  <c r="DE93" i="1" a="1"/>
  <c r="DE93" i="1" s="1"/>
  <c r="CI94" i="1" a="1"/>
  <c r="CI94" i="1"/>
  <c r="CJ94" i="1" a="1"/>
  <c r="CJ94" i="1" s="1"/>
  <c r="CK94" i="1" a="1"/>
  <c r="CK94" i="1" s="1"/>
  <c r="CL94" i="1" a="1"/>
  <c r="CL94" i="1"/>
  <c r="CM94" i="1" a="1"/>
  <c r="CM94" i="1" s="1"/>
  <c r="CN94" i="1" a="1"/>
  <c r="CN94" i="1"/>
  <c r="CO94" i="1" a="1"/>
  <c r="CO94" i="1" s="1"/>
  <c r="CP94" i="1" a="1"/>
  <c r="CP94" i="1" s="1"/>
  <c r="CQ94" i="1" a="1"/>
  <c r="CQ94" i="1" s="1"/>
  <c r="CR94" i="1" a="1"/>
  <c r="CR94" i="1" s="1"/>
  <c r="CS94" i="1" a="1"/>
  <c r="CS94" i="1" s="1"/>
  <c r="CT94" i="1" a="1"/>
  <c r="CT94" i="1"/>
  <c r="CU94" i="1" a="1"/>
  <c r="CU94" i="1" s="1"/>
  <c r="CV94" i="1" a="1"/>
  <c r="CV94" i="1" s="1"/>
  <c r="CW94" i="1" a="1"/>
  <c r="CW94" i="1"/>
  <c r="CX94" i="1" a="1"/>
  <c r="CX94" i="1" s="1"/>
  <c r="CY94" i="1" a="1"/>
  <c r="CY94" i="1" s="1"/>
  <c r="CZ94" i="1" a="1"/>
  <c r="CZ94" i="1" s="1"/>
  <c r="DA94" i="1" a="1"/>
  <c r="DA94" i="1"/>
  <c r="DB94" i="1" a="1"/>
  <c r="DB94" i="1" s="1"/>
  <c r="DC94" i="1" a="1"/>
  <c r="DC94" i="1"/>
  <c r="DD94" i="1" a="1"/>
  <c r="DD94" i="1" s="1"/>
  <c r="DE94" i="1" a="1"/>
  <c r="DE94" i="1" s="1"/>
  <c r="CI95" i="1" a="1"/>
  <c r="CI95" i="1" s="1"/>
  <c r="CJ95" i="1" a="1"/>
  <c r="CJ95" i="1"/>
  <c r="CK95" i="1" a="1"/>
  <c r="CK95" i="1" s="1"/>
  <c r="CL95" i="1" a="1"/>
  <c r="CL95" i="1" s="1"/>
  <c r="CM95" i="1" a="1"/>
  <c r="CM95" i="1"/>
  <c r="CN95" i="1" a="1"/>
  <c r="CN95" i="1" s="1"/>
  <c r="CO95" i="1" a="1"/>
  <c r="CO95" i="1" s="1"/>
  <c r="CP95" i="1" a="1"/>
  <c r="CP95" i="1" s="1"/>
  <c r="CQ95" i="1" a="1"/>
  <c r="CQ95" i="1" s="1"/>
  <c r="CR95" i="1" a="1"/>
  <c r="CR95" i="1" s="1"/>
  <c r="CS95" i="1" a="1"/>
  <c r="CS95" i="1" s="1"/>
  <c r="CT95" i="1" a="1"/>
  <c r="CT95" i="1" s="1"/>
  <c r="CU95" i="1" a="1"/>
  <c r="CU95" i="1"/>
  <c r="CV95" i="1" a="1"/>
  <c r="CV95" i="1" s="1"/>
  <c r="CW95" i="1" a="1"/>
  <c r="CW95" i="1" s="1"/>
  <c r="CX95" i="1" a="1"/>
  <c r="CX95" i="1"/>
  <c r="CY95" i="1" a="1"/>
  <c r="CY95" i="1"/>
  <c r="CZ95" i="1" a="1"/>
  <c r="CZ95" i="1" s="1"/>
  <c r="DA95" i="1" a="1"/>
  <c r="DA95" i="1" s="1"/>
  <c r="DB95" i="1" a="1"/>
  <c r="DB95" i="1" s="1"/>
  <c r="DC95" i="1" a="1"/>
  <c r="DC95" i="1" s="1"/>
  <c r="DD95" i="1" a="1"/>
  <c r="DD95" i="1" s="1"/>
  <c r="DE95" i="1" a="1"/>
  <c r="DE95" i="1"/>
  <c r="CI96" i="1" a="1"/>
  <c r="CI96" i="1" s="1"/>
  <c r="CJ96" i="1" a="1"/>
  <c r="CJ96" i="1"/>
  <c r="CK96" i="1" a="1"/>
  <c r="CK96" i="1" s="1"/>
  <c r="CL96" i="1" a="1"/>
  <c r="CL96" i="1" s="1"/>
  <c r="CM96" i="1" a="1"/>
  <c r="CM96" i="1" s="1"/>
  <c r="CN96" i="1" a="1"/>
  <c r="CN96" i="1" s="1"/>
  <c r="CO96" i="1" a="1"/>
  <c r="CO96" i="1" s="1"/>
  <c r="CP96" i="1" a="1"/>
  <c r="CP96" i="1"/>
  <c r="CQ96" i="1" a="1"/>
  <c r="CQ96" i="1" s="1"/>
  <c r="CR96" i="1" a="1"/>
  <c r="CR96" i="1" s="1"/>
  <c r="CS96" i="1" a="1"/>
  <c r="CS96" i="1"/>
  <c r="CT96" i="1" a="1"/>
  <c r="CT96" i="1"/>
  <c r="CU96" i="1" a="1"/>
  <c r="CU96" i="1" s="1"/>
  <c r="CV96" i="1" a="1"/>
  <c r="CV96" i="1" s="1"/>
  <c r="CW96" i="1" a="1"/>
  <c r="CW96" i="1"/>
  <c r="CX96" i="1" a="1"/>
  <c r="CX96" i="1" s="1"/>
  <c r="CY96" i="1" a="1"/>
  <c r="CY96" i="1" s="1"/>
  <c r="CZ96" i="1" a="1"/>
  <c r="CZ96" i="1"/>
  <c r="DA96" i="1" a="1"/>
  <c r="DA96" i="1" s="1"/>
  <c r="DB96" i="1" a="1"/>
  <c r="DB96" i="1"/>
  <c r="DC96" i="1" a="1"/>
  <c r="DC96" i="1" s="1"/>
  <c r="DD96" i="1" a="1"/>
  <c r="DD96" i="1" s="1"/>
  <c r="DE96" i="1" a="1"/>
  <c r="DE96" i="1"/>
  <c r="CI97" i="1" a="1"/>
  <c r="CI97" i="1" s="1"/>
  <c r="CJ97" i="1" a="1"/>
  <c r="CJ97" i="1" s="1"/>
  <c r="CK97" i="1" a="1"/>
  <c r="CK97" i="1" s="1"/>
  <c r="CL97" i="1" a="1"/>
  <c r="CL97" i="1"/>
  <c r="CM97" i="1" a="1"/>
  <c r="CM97" i="1" s="1"/>
  <c r="CN97" i="1" a="1"/>
  <c r="CN97" i="1"/>
  <c r="CO97" i="1" a="1"/>
  <c r="CO97" i="1" s="1"/>
  <c r="CP97" i="1" a="1"/>
  <c r="CP97" i="1" s="1"/>
  <c r="CQ97" i="1" a="1"/>
  <c r="CQ97" i="1" s="1"/>
  <c r="CR97" i="1" a="1"/>
  <c r="CR97" i="1"/>
  <c r="CS97" i="1" a="1"/>
  <c r="CS97" i="1" s="1"/>
  <c r="CT97" i="1" a="1"/>
  <c r="CT97" i="1" s="1"/>
  <c r="CU97" i="1" a="1"/>
  <c r="CU97" i="1"/>
  <c r="CV97" i="1" a="1"/>
  <c r="CV97" i="1" s="1"/>
  <c r="CW97" i="1" a="1"/>
  <c r="CW97" i="1" s="1"/>
  <c r="CX97" i="1" a="1"/>
  <c r="CX97" i="1" s="1"/>
  <c r="CY97" i="1" a="1"/>
  <c r="CY97" i="1" s="1"/>
  <c r="CZ97" i="1" a="1"/>
  <c r="CZ97" i="1" s="1"/>
  <c r="DA97" i="1" a="1"/>
  <c r="DA97" i="1" s="1"/>
  <c r="DB97" i="1" a="1"/>
  <c r="DB97" i="1" s="1"/>
  <c r="DC97" i="1" a="1"/>
  <c r="DC97" i="1"/>
  <c r="DD97" i="1" a="1"/>
  <c r="DD97" i="1" s="1"/>
  <c r="DE97" i="1" a="1"/>
  <c r="DE97" i="1" s="1"/>
  <c r="CI98" i="1" a="1"/>
  <c r="CI98" i="1"/>
  <c r="CJ98" i="1" a="1"/>
  <c r="CJ98" i="1"/>
  <c r="CK98" i="1" a="1"/>
  <c r="CK98" i="1" s="1"/>
  <c r="CL98" i="1" a="1"/>
  <c r="CL98" i="1" s="1"/>
  <c r="CM98" i="1" a="1"/>
  <c r="CM98" i="1" s="1"/>
  <c r="CN98" i="1" a="1"/>
  <c r="CN98" i="1" s="1"/>
  <c r="CO98" i="1" a="1"/>
  <c r="CO98" i="1" s="1"/>
  <c r="CP98" i="1" a="1"/>
  <c r="CP98" i="1"/>
  <c r="CQ98" i="1" a="1"/>
  <c r="CQ98" i="1" s="1"/>
  <c r="CR98" i="1" a="1"/>
  <c r="CR98" i="1"/>
  <c r="CS98" i="1" a="1"/>
  <c r="CS98" i="1" s="1"/>
  <c r="CT98" i="1" a="1"/>
  <c r="CT98" i="1" s="1"/>
  <c r="CU98" i="1" a="1"/>
  <c r="CU98" i="1" s="1"/>
  <c r="CV98" i="1" a="1"/>
  <c r="CV98" i="1" s="1"/>
  <c r="CW98" i="1" a="1"/>
  <c r="CW98" i="1" s="1"/>
  <c r="CX98" i="1" a="1"/>
  <c r="CX98" i="1"/>
  <c r="CY98" i="1" a="1"/>
  <c r="CY98" i="1" s="1"/>
  <c r="CZ98" i="1" a="1"/>
  <c r="CZ98" i="1" s="1"/>
  <c r="DA98" i="1" a="1"/>
  <c r="DA98" i="1"/>
  <c r="DB98" i="1" a="1"/>
  <c r="DB98" i="1"/>
  <c r="DC98" i="1" a="1"/>
  <c r="DC98" i="1" s="1"/>
  <c r="DD98" i="1" a="1"/>
  <c r="DD98" i="1" s="1"/>
  <c r="DE98" i="1" a="1"/>
  <c r="DE98" i="1"/>
  <c r="CI99" i="1" a="1"/>
  <c r="CI99" i="1" s="1"/>
  <c r="CJ99" i="1" a="1"/>
  <c r="CJ99" i="1" s="1"/>
  <c r="CK99" i="1" a="1"/>
  <c r="CK99" i="1"/>
  <c r="CL99" i="1" a="1"/>
  <c r="CL99" i="1" s="1"/>
  <c r="CM99" i="1" a="1"/>
  <c r="CM99" i="1"/>
  <c r="CN99" i="1" a="1"/>
  <c r="CN99" i="1" s="1"/>
  <c r="CO99" i="1" a="1"/>
  <c r="CO99" i="1" s="1"/>
  <c r="CP99" i="1" a="1"/>
  <c r="CP99" i="1"/>
  <c r="CQ99" i="1" a="1"/>
  <c r="CQ99" i="1" s="1"/>
  <c r="CR99" i="1" a="1"/>
  <c r="CR99" i="1" s="1"/>
  <c r="CS99" i="1" a="1"/>
  <c r="CS99" i="1" s="1"/>
  <c r="CT99" i="1" a="1"/>
  <c r="CT99" i="1"/>
  <c r="CU99" i="1" a="1"/>
  <c r="CU99" i="1" s="1"/>
  <c r="CV99" i="1" a="1"/>
  <c r="CV99" i="1"/>
  <c r="CW99" i="1" a="1"/>
  <c r="CW99" i="1" s="1"/>
  <c r="CX99" i="1" a="1"/>
  <c r="CX99" i="1" s="1"/>
  <c r="CY99" i="1" a="1"/>
  <c r="CY99" i="1" s="1"/>
  <c r="CZ99" i="1" a="1"/>
  <c r="CZ99" i="1"/>
  <c r="DA99" i="1" a="1"/>
  <c r="DA99" i="1" s="1"/>
  <c r="DB99" i="1" a="1"/>
  <c r="DB99" i="1" s="1"/>
  <c r="DC99" i="1" a="1"/>
  <c r="DC99" i="1"/>
  <c r="DD99" i="1" a="1"/>
  <c r="DD99" i="1" s="1"/>
  <c r="DE99" i="1" a="1"/>
  <c r="DE99" i="1" s="1"/>
  <c r="CI100" i="1" a="1"/>
  <c r="CI100" i="1" s="1"/>
  <c r="CJ100" i="1" a="1"/>
  <c r="CJ100" i="1" s="1"/>
  <c r="CK100" i="1" a="1"/>
  <c r="CK100" i="1" s="1"/>
  <c r="CL100" i="1" a="1"/>
  <c r="CL100" i="1" s="1"/>
  <c r="CM100" i="1" a="1"/>
  <c r="CM100" i="1" s="1"/>
  <c r="CN100" i="1" a="1"/>
  <c r="CN100" i="1"/>
  <c r="CO100" i="1" a="1"/>
  <c r="CO100" i="1" s="1"/>
  <c r="CP100" i="1" a="1"/>
  <c r="CP100" i="1" s="1"/>
  <c r="CQ100" i="1" a="1"/>
  <c r="CQ100" i="1"/>
  <c r="CR100" i="1" a="1"/>
  <c r="CR100" i="1"/>
  <c r="CS100" i="1" a="1"/>
  <c r="CS100" i="1" s="1"/>
  <c r="CT100" i="1" a="1"/>
  <c r="CT100" i="1" s="1"/>
  <c r="CU100" i="1" a="1"/>
  <c r="CU100" i="1" s="1"/>
  <c r="CV100" i="1" a="1"/>
  <c r="CV100" i="1" s="1"/>
  <c r="CW100" i="1" a="1"/>
  <c r="CW100" i="1" s="1"/>
  <c r="CX100" i="1" a="1"/>
  <c r="CX100" i="1"/>
  <c r="CY100" i="1" a="1"/>
  <c r="CY100" i="1" s="1"/>
  <c r="CZ100" i="1" a="1"/>
  <c r="CZ100" i="1"/>
  <c r="DA100" i="1" a="1"/>
  <c r="DA100" i="1" s="1"/>
  <c r="DB100" i="1" a="1"/>
  <c r="DB100" i="1" s="1"/>
  <c r="DC100" i="1" a="1"/>
  <c r="DC100" i="1" s="1"/>
  <c r="DD100" i="1" a="1"/>
  <c r="DD100" i="1" s="1"/>
  <c r="DE100" i="1" a="1"/>
  <c r="DE100" i="1" s="1"/>
  <c r="CI101" i="1" a="1"/>
  <c r="CI101" i="1"/>
  <c r="CJ101" i="1" a="1"/>
  <c r="CJ101" i="1" s="1"/>
  <c r="CK101" i="1" a="1"/>
  <c r="CK101" i="1" s="1"/>
  <c r="CL101" i="1" a="1"/>
  <c r="CL101" i="1"/>
  <c r="CM101" i="1" a="1"/>
  <c r="CM101" i="1"/>
  <c r="CN101" i="1" a="1"/>
  <c r="CN101" i="1" s="1"/>
  <c r="CO101" i="1" a="1"/>
  <c r="CO101" i="1" s="1"/>
  <c r="CP101" i="1" a="1"/>
  <c r="CP101" i="1"/>
  <c r="CQ101" i="1" a="1"/>
  <c r="CQ101" i="1" s="1"/>
  <c r="CR101" i="1" a="1"/>
  <c r="CR101" i="1" s="1"/>
  <c r="CS101" i="1" a="1"/>
  <c r="CS101" i="1"/>
  <c r="CT101" i="1" a="1"/>
  <c r="CT101" i="1" s="1"/>
  <c r="CU101" i="1" a="1"/>
  <c r="CU101" i="1"/>
  <c r="CV101" i="1" a="1"/>
  <c r="CV101" i="1" s="1"/>
  <c r="CW101" i="1" a="1"/>
  <c r="CW101" i="1" s="1"/>
  <c r="CX101" i="1" a="1"/>
  <c r="CX101" i="1"/>
  <c r="CY101" i="1" a="1"/>
  <c r="CY101" i="1" s="1"/>
  <c r="CZ101" i="1" a="1"/>
  <c r="CZ101" i="1" s="1"/>
  <c r="DA101" i="1" a="1"/>
  <c r="DA101" i="1" s="1"/>
  <c r="DB101" i="1" a="1"/>
  <c r="DB101" i="1"/>
  <c r="DC101" i="1" a="1"/>
  <c r="DC101" i="1" s="1"/>
  <c r="DD101" i="1" a="1"/>
  <c r="DD101" i="1"/>
  <c r="DE101" i="1" a="1"/>
  <c r="DE101" i="1" s="1"/>
  <c r="CI102" i="1" a="1"/>
  <c r="CI102" i="1" s="1"/>
  <c r="CJ102" i="1" a="1"/>
  <c r="CJ102" i="1" s="1"/>
  <c r="CK102" i="1" a="1"/>
  <c r="CK102" i="1"/>
  <c r="CL102" i="1" a="1"/>
  <c r="CL102" i="1" s="1"/>
  <c r="CM102" i="1" a="1"/>
  <c r="CM102" i="1" s="1"/>
  <c r="CN102" i="1" a="1"/>
  <c r="CN102" i="1"/>
  <c r="CO102" i="1" a="1"/>
  <c r="CO102" i="1" s="1"/>
  <c r="CP102" i="1" a="1"/>
  <c r="CP102" i="1" s="1"/>
  <c r="CQ102" i="1" a="1"/>
  <c r="CQ102" i="1" s="1"/>
  <c r="CR102" i="1" a="1"/>
  <c r="CR102" i="1" s="1"/>
  <c r="CS102" i="1" a="1"/>
  <c r="CS102" i="1" s="1"/>
  <c r="CT102" i="1" a="1"/>
  <c r="CT102" i="1" s="1"/>
  <c r="CU102" i="1" a="1"/>
  <c r="CU102" i="1" s="1"/>
  <c r="CV102" i="1" a="1"/>
  <c r="CV102" i="1"/>
  <c r="CW102" i="1" a="1"/>
  <c r="CW102" i="1" s="1"/>
  <c r="CX102" i="1" a="1"/>
  <c r="CX102" i="1" s="1"/>
  <c r="CY102" i="1" a="1"/>
  <c r="CY102" i="1"/>
  <c r="CZ102" i="1" a="1"/>
  <c r="CZ102" i="1"/>
  <c r="DA102" i="1" a="1"/>
  <c r="DA102" i="1" s="1"/>
  <c r="DB102" i="1" a="1"/>
  <c r="DB102" i="1" s="1"/>
  <c r="DC102" i="1" a="1"/>
  <c r="DC102" i="1" s="1"/>
  <c r="DD102" i="1" a="1"/>
  <c r="DD102" i="1" s="1"/>
  <c r="DE102" i="1" a="1"/>
  <c r="DE102" i="1" s="1"/>
  <c r="CI103" i="1" a="1"/>
  <c r="CI103" i="1"/>
  <c r="CJ103" i="1" a="1"/>
  <c r="CJ103" i="1" s="1"/>
  <c r="CK103" i="1" a="1"/>
  <c r="CK103" i="1"/>
  <c r="CL103" i="1" a="1"/>
  <c r="CL103" i="1" s="1"/>
  <c r="CM103" i="1" a="1"/>
  <c r="CM103" i="1" s="1"/>
  <c r="CN103" i="1" a="1"/>
  <c r="CN103" i="1" s="1"/>
  <c r="CO103" i="1" a="1"/>
  <c r="CO103" i="1" s="1"/>
  <c r="CP103" i="1" a="1"/>
  <c r="CP103" i="1" s="1"/>
  <c r="CQ103" i="1" a="1"/>
  <c r="CQ103" i="1"/>
  <c r="CR103" i="1" a="1"/>
  <c r="CR103" i="1" s="1"/>
  <c r="CS103" i="1" a="1"/>
  <c r="CS103" i="1" s="1"/>
  <c r="CT103" i="1" a="1"/>
  <c r="CT103" i="1"/>
  <c r="CU103" i="1" a="1"/>
  <c r="CU103" i="1"/>
  <c r="CV103" i="1" a="1"/>
  <c r="CV103" i="1" s="1"/>
  <c r="CW103" i="1" a="1"/>
  <c r="CW103" i="1" s="1"/>
  <c r="CX103" i="1" a="1"/>
  <c r="CX103" i="1"/>
  <c r="CY103" i="1" a="1"/>
  <c r="CY103" i="1" s="1"/>
  <c r="CZ103" i="1" a="1"/>
  <c r="CZ103" i="1" s="1"/>
  <c r="DA103" i="1" a="1"/>
  <c r="DA103" i="1"/>
  <c r="DB103" i="1" a="1"/>
  <c r="DB103" i="1" s="1"/>
  <c r="DC103" i="1" a="1"/>
  <c r="DC103" i="1"/>
  <c r="DD103" i="1" a="1"/>
  <c r="DD103" i="1" s="1"/>
  <c r="DE103" i="1" a="1"/>
  <c r="DE103" i="1" s="1"/>
  <c r="CI104" i="1" a="1"/>
  <c r="CI104" i="1"/>
  <c r="CJ104" i="1" a="1"/>
  <c r="CJ104" i="1" s="1"/>
  <c r="CK104" i="1" a="1"/>
  <c r="CK104" i="1" s="1"/>
  <c r="CL104" i="1" a="1"/>
  <c r="CL104" i="1" s="1"/>
  <c r="CM104" i="1" a="1"/>
  <c r="CM104" i="1"/>
  <c r="CN104" i="1" a="1"/>
  <c r="CN104" i="1" s="1"/>
  <c r="CO104" i="1" a="1"/>
  <c r="CO104" i="1"/>
  <c r="CP104" i="1" a="1"/>
  <c r="CP104" i="1" s="1"/>
  <c r="CQ104" i="1" a="1"/>
  <c r="CQ104" i="1" s="1"/>
  <c r="CR104" i="1" a="1"/>
  <c r="CR104" i="1" s="1"/>
  <c r="CS104" i="1" a="1"/>
  <c r="CS104" i="1"/>
  <c r="CT104" i="1" a="1"/>
  <c r="CT104" i="1" s="1"/>
  <c r="CU104" i="1" a="1"/>
  <c r="CU104" i="1" s="1"/>
  <c r="CV104" i="1" a="1"/>
  <c r="CV104" i="1"/>
  <c r="CW104" i="1" a="1"/>
  <c r="CW104" i="1" s="1"/>
  <c r="CX104" i="1" a="1"/>
  <c r="CX104" i="1" s="1"/>
  <c r="CY104" i="1" a="1"/>
  <c r="CY104" i="1" s="1"/>
  <c r="CZ104" i="1" a="1"/>
  <c r="CZ104" i="1" s="1"/>
  <c r="DA104" i="1" a="1"/>
  <c r="DA104" i="1" s="1"/>
  <c r="DB104" i="1" a="1"/>
  <c r="DB104" i="1" s="1"/>
  <c r="DC104" i="1" a="1"/>
  <c r="DC104" i="1" s="1"/>
  <c r="DD104" i="1" a="1"/>
  <c r="DD104" i="1"/>
  <c r="DE104" i="1" a="1"/>
  <c r="DE104" i="1" s="1"/>
  <c r="CI105" i="1" a="1"/>
  <c r="CI105" i="1" s="1"/>
  <c r="CJ105" i="1" a="1"/>
  <c r="CJ105" i="1"/>
  <c r="CK105" i="1" a="1"/>
  <c r="CK105" i="1"/>
  <c r="CL105" i="1" a="1"/>
  <c r="CL105" i="1" s="1"/>
  <c r="CM105" i="1" a="1"/>
  <c r="CM105" i="1" s="1"/>
  <c r="CN105" i="1" a="1"/>
  <c r="CN105" i="1" s="1"/>
  <c r="CO105" i="1" a="1"/>
  <c r="CO105" i="1" s="1"/>
  <c r="CP105" i="1" a="1"/>
  <c r="CP105" i="1" s="1"/>
  <c r="CQ105" i="1" a="1"/>
  <c r="CQ105" i="1"/>
  <c r="CR105" i="1" a="1"/>
  <c r="CR105" i="1" s="1"/>
  <c r="CS105" i="1" a="1"/>
  <c r="CS105" i="1"/>
  <c r="CT105" i="1" a="1"/>
  <c r="CT105" i="1" s="1"/>
  <c r="CU105" i="1" a="1"/>
  <c r="CU105" i="1" s="1"/>
  <c r="CV105" i="1" a="1"/>
  <c r="CV105" i="1" s="1"/>
  <c r="CW105" i="1" a="1"/>
  <c r="CW105" i="1" s="1"/>
  <c r="CX105" i="1" a="1"/>
  <c r="CX105" i="1" s="1"/>
  <c r="CY105" i="1" a="1"/>
  <c r="CY105" i="1"/>
  <c r="CZ105" i="1" a="1"/>
  <c r="CZ105" i="1" s="1"/>
  <c r="DA105" i="1" a="1"/>
  <c r="DA105" i="1" s="1"/>
  <c r="DB105" i="1" a="1"/>
  <c r="DB105" i="1"/>
  <c r="DC105" i="1" a="1"/>
  <c r="DC105" i="1"/>
  <c r="DD105" i="1" a="1"/>
  <c r="DD105" i="1" s="1"/>
  <c r="DE105" i="1" a="1"/>
  <c r="DE105" i="1" s="1"/>
  <c r="CI106" i="1" a="1"/>
  <c r="CI106" i="1"/>
  <c r="CJ106" i="1" a="1"/>
  <c r="CJ106" i="1" s="1"/>
  <c r="CK106" i="1" a="1"/>
  <c r="CK106" i="1" s="1"/>
  <c r="CL106" i="1" a="1"/>
  <c r="CL106" i="1"/>
  <c r="CM106" i="1" a="1"/>
  <c r="CM106" i="1" s="1"/>
  <c r="CN106" i="1" a="1"/>
  <c r="CN106" i="1"/>
  <c r="CO106" i="1" a="1"/>
  <c r="CO106" i="1" s="1"/>
  <c r="CP106" i="1" a="1"/>
  <c r="CP106" i="1" s="1"/>
  <c r="CQ106" i="1" a="1"/>
  <c r="CQ106" i="1"/>
  <c r="CR106" i="1" a="1"/>
  <c r="CR106" i="1" s="1"/>
  <c r="CS106" i="1" a="1"/>
  <c r="CS106" i="1" s="1"/>
  <c r="CT106" i="1" a="1"/>
  <c r="CT106" i="1" s="1"/>
  <c r="CU106" i="1" a="1"/>
  <c r="CU106" i="1"/>
  <c r="CV106" i="1" a="1"/>
  <c r="CV106" i="1" s="1"/>
  <c r="CW106" i="1" a="1"/>
  <c r="CW106" i="1"/>
  <c r="CX106" i="1" a="1"/>
  <c r="CX106" i="1" s="1"/>
  <c r="CY106" i="1" a="1"/>
  <c r="CY106" i="1" s="1"/>
  <c r="CZ106" i="1" a="1"/>
  <c r="CZ106" i="1" s="1"/>
  <c r="DA106" i="1" a="1"/>
  <c r="DA106" i="1"/>
  <c r="DB106" i="1" a="1"/>
  <c r="DB106" i="1" s="1"/>
  <c r="DC106" i="1" a="1"/>
  <c r="DC106" i="1" s="1"/>
  <c r="DD106" i="1" a="1"/>
  <c r="DD106" i="1"/>
  <c r="DE106" i="1" a="1"/>
  <c r="DE106" i="1" s="1"/>
  <c r="CI107" i="1" a="1"/>
  <c r="CI107" i="1" s="1"/>
  <c r="CJ107" i="1" a="1"/>
  <c r="CJ107" i="1" s="1"/>
  <c r="CK107" i="1" a="1"/>
  <c r="CK107" i="1" s="1"/>
  <c r="CL107" i="1" a="1"/>
  <c r="CL107" i="1" s="1"/>
  <c r="CM107" i="1" a="1"/>
  <c r="CM107" i="1" s="1"/>
  <c r="CN107" i="1" a="1"/>
  <c r="CN107" i="1" s="1"/>
  <c r="CO107" i="1" a="1"/>
  <c r="CO107" i="1"/>
  <c r="CP107" i="1" a="1"/>
  <c r="CP107" i="1" s="1"/>
  <c r="CQ107" i="1" a="1"/>
  <c r="CQ107" i="1" s="1"/>
  <c r="CR107" i="1" a="1"/>
  <c r="CR107" i="1"/>
  <c r="CS107" i="1" a="1"/>
  <c r="CS107" i="1"/>
  <c r="CT107" i="1" a="1"/>
  <c r="CT107" i="1" s="1"/>
  <c r="CU107" i="1" a="1"/>
  <c r="CU107" i="1" s="1"/>
  <c r="CV107" i="1" a="1"/>
  <c r="CV107" i="1" s="1"/>
  <c r="CW107" i="1" a="1"/>
  <c r="CW107" i="1" s="1"/>
  <c r="CX107" i="1" a="1"/>
  <c r="CX107" i="1" s="1"/>
  <c r="CY107" i="1" a="1"/>
  <c r="CY107" i="1"/>
  <c r="CZ107" i="1" a="1"/>
  <c r="CZ107" i="1" s="1"/>
  <c r="DA107" i="1" a="1"/>
  <c r="DA107" i="1"/>
  <c r="DB107" i="1" a="1"/>
  <c r="DB107" i="1" s="1"/>
  <c r="DC107" i="1" a="1"/>
  <c r="DC107" i="1" s="1"/>
  <c r="DD107" i="1" a="1"/>
  <c r="DD107" i="1" s="1"/>
  <c r="DE107" i="1" a="1"/>
  <c r="DE107" i="1" s="1"/>
  <c r="CI108" i="1" a="1"/>
  <c r="CI108" i="1" s="1"/>
  <c r="CJ108" i="1" a="1"/>
  <c r="CJ108" i="1"/>
  <c r="CK108" i="1" a="1"/>
  <c r="CK108" i="1" s="1"/>
  <c r="CL108" i="1" a="1"/>
  <c r="CL108" i="1" s="1"/>
  <c r="CM108" i="1" a="1"/>
  <c r="CM108" i="1"/>
  <c r="CN108" i="1" a="1"/>
  <c r="CN108" i="1"/>
  <c r="CO108" i="1" a="1"/>
  <c r="CO108" i="1" s="1"/>
  <c r="CP108" i="1" a="1"/>
  <c r="CP108" i="1" s="1"/>
  <c r="CQ108" i="1" a="1"/>
  <c r="CQ108" i="1"/>
  <c r="CR108" i="1" a="1"/>
  <c r="CR108" i="1" s="1"/>
  <c r="CS108" i="1" a="1"/>
  <c r="CS108" i="1" s="1"/>
  <c r="CT108" i="1" a="1"/>
  <c r="CT108" i="1"/>
  <c r="CU108" i="1" a="1"/>
  <c r="CU108" i="1" s="1"/>
  <c r="CV108" i="1" a="1"/>
  <c r="CV108" i="1"/>
  <c r="CW108" i="1" a="1"/>
  <c r="CW108" i="1" s="1"/>
  <c r="CX108" i="1" a="1"/>
  <c r="CX108" i="1" s="1"/>
  <c r="CY108" i="1" a="1"/>
  <c r="CY108" i="1"/>
  <c r="CZ108" i="1" a="1"/>
  <c r="CZ108" i="1" s="1"/>
  <c r="DA108" i="1" a="1"/>
  <c r="DA108" i="1" s="1"/>
  <c r="DB108" i="1" a="1"/>
  <c r="DB108" i="1" s="1"/>
  <c r="DC108" i="1" a="1"/>
  <c r="DC108" i="1"/>
  <c r="DD108" i="1" a="1"/>
  <c r="DD108" i="1" s="1"/>
  <c r="DE108" i="1" a="1"/>
  <c r="DE108" i="1"/>
  <c r="CI109" i="1" a="1"/>
  <c r="CI109" i="1" s="1"/>
  <c r="CJ109" i="1" a="1"/>
  <c r="CJ109" i="1" s="1"/>
  <c r="CK109" i="1" a="1"/>
  <c r="CK109" i="1" s="1"/>
  <c r="CL109" i="1" a="1"/>
  <c r="CL109" i="1"/>
  <c r="CM109" i="1" a="1"/>
  <c r="CM109" i="1" s="1"/>
  <c r="CN109" i="1" a="1"/>
  <c r="CN109" i="1" s="1"/>
  <c r="CO109" i="1" a="1"/>
  <c r="CO109" i="1"/>
  <c r="CP109" i="1" a="1"/>
  <c r="CP109" i="1" s="1"/>
  <c r="CQ109" i="1" a="1"/>
  <c r="CQ109" i="1" s="1"/>
  <c r="CR109" i="1" a="1"/>
  <c r="CR109" i="1" s="1"/>
  <c r="CS109" i="1" a="1"/>
  <c r="CS109" i="1" s="1"/>
  <c r="CT109" i="1" a="1"/>
  <c r="CT109" i="1" s="1"/>
  <c r="CU109" i="1" a="1"/>
  <c r="CU109" i="1" s="1"/>
  <c r="CV109" i="1" a="1"/>
  <c r="CV109" i="1" s="1"/>
  <c r="CW109" i="1" a="1"/>
  <c r="CW109" i="1"/>
  <c r="CX109" i="1" a="1"/>
  <c r="CX109" i="1" s="1"/>
  <c r="CY109" i="1" a="1"/>
  <c r="CY109" i="1" s="1"/>
  <c r="CZ109" i="1" a="1"/>
  <c r="CZ109" i="1"/>
  <c r="DA109" i="1" a="1"/>
  <c r="DA109" i="1"/>
  <c r="DB109" i="1" a="1"/>
  <c r="DB109" i="1" s="1"/>
  <c r="DC109" i="1" a="1"/>
  <c r="DC109" i="1" s="1"/>
  <c r="DD109" i="1" a="1"/>
  <c r="DD109" i="1" s="1"/>
  <c r="DE109" i="1" a="1"/>
  <c r="DE109" i="1" s="1"/>
  <c r="CI110" i="1" a="1"/>
  <c r="CI110" i="1" s="1"/>
  <c r="CJ110" i="1" a="1"/>
  <c r="CJ110" i="1"/>
  <c r="CK110" i="1" a="1"/>
  <c r="CK110" i="1" s="1"/>
  <c r="CL110" i="1" a="1"/>
  <c r="CL110" i="1"/>
  <c r="CM110" i="1" a="1"/>
  <c r="CM110" i="1" s="1"/>
  <c r="CN110" i="1" a="1"/>
  <c r="CN110" i="1" s="1"/>
  <c r="CO110" i="1" a="1"/>
  <c r="CO110" i="1" s="1"/>
  <c r="CP110" i="1" a="1"/>
  <c r="CP110" i="1" s="1"/>
  <c r="CQ110" i="1" a="1"/>
  <c r="CQ110" i="1" s="1"/>
  <c r="CR110" i="1" a="1"/>
  <c r="CR110" i="1"/>
  <c r="CS110" i="1" a="1"/>
  <c r="CS110" i="1" s="1"/>
  <c r="CT110" i="1" a="1"/>
  <c r="CT110" i="1" s="1"/>
  <c r="CU110" i="1" a="1"/>
  <c r="CU110" i="1"/>
  <c r="CV110" i="1" a="1"/>
  <c r="CV110" i="1"/>
  <c r="CW110" i="1" a="1"/>
  <c r="CW110" i="1" s="1"/>
  <c r="CX110" i="1" a="1"/>
  <c r="CX110" i="1" s="1"/>
  <c r="CY110" i="1" a="1"/>
  <c r="CY110" i="1"/>
  <c r="CZ110" i="1" a="1"/>
  <c r="CZ110" i="1" s="1"/>
  <c r="DA110" i="1" a="1"/>
  <c r="DA110" i="1" s="1"/>
  <c r="DB110" i="1" a="1"/>
  <c r="DB110" i="1"/>
  <c r="DC110" i="1" a="1"/>
  <c r="DC110" i="1" s="1"/>
  <c r="DD110" i="1" a="1"/>
  <c r="DD110" i="1"/>
  <c r="DE110" i="1" a="1"/>
  <c r="DE110" i="1" s="1"/>
  <c r="CI111" i="1" a="1"/>
  <c r="CI111" i="1" s="1"/>
  <c r="CJ111" i="1" a="1"/>
  <c r="CJ111" i="1"/>
  <c r="CK111" i="1" a="1"/>
  <c r="CK111" i="1" s="1"/>
  <c r="CL111" i="1" a="1"/>
  <c r="CL111" i="1" s="1"/>
  <c r="CM111" i="1" a="1"/>
  <c r="CM111" i="1" s="1"/>
  <c r="CN111" i="1" a="1"/>
  <c r="CN111" i="1"/>
  <c r="CO111" i="1" a="1"/>
  <c r="CO111" i="1" s="1"/>
  <c r="CP111" i="1" a="1"/>
  <c r="CP111" i="1"/>
  <c r="CQ111" i="1" a="1"/>
  <c r="CQ111" i="1" s="1"/>
  <c r="CR111" i="1" a="1"/>
  <c r="CR111" i="1" s="1"/>
  <c r="CS111" i="1" a="1"/>
  <c r="CS111" i="1" s="1"/>
  <c r="CT111" i="1" a="1"/>
  <c r="CT111" i="1"/>
  <c r="CU111" i="1" a="1"/>
  <c r="CU111" i="1" s="1"/>
  <c r="CV111" i="1" a="1"/>
  <c r="CV111" i="1" s="1"/>
  <c r="CW111" i="1" a="1"/>
  <c r="CW111" i="1"/>
  <c r="CX111" i="1" a="1"/>
  <c r="CX111" i="1" s="1"/>
  <c r="CY111" i="1" a="1"/>
  <c r="CY111" i="1" s="1"/>
  <c r="CZ111" i="1" a="1"/>
  <c r="CZ111" i="1" s="1"/>
  <c r="DA111" i="1" a="1"/>
  <c r="DA111" i="1" s="1"/>
  <c r="DB111" i="1" a="1"/>
  <c r="DB111" i="1" s="1"/>
  <c r="DC111" i="1" a="1"/>
  <c r="DC111" i="1" s="1"/>
  <c r="DD111" i="1" a="1"/>
  <c r="DD111" i="1" s="1"/>
  <c r="DE111" i="1" a="1"/>
  <c r="DE111" i="1"/>
  <c r="CI112" i="1" a="1"/>
  <c r="CI112" i="1" s="1"/>
  <c r="CJ112" i="1" a="1"/>
  <c r="CJ112" i="1" s="1"/>
  <c r="CK112" i="1" a="1"/>
  <c r="CK112" i="1"/>
  <c r="CL112" i="1" a="1"/>
  <c r="CL112" i="1"/>
  <c r="CM112" i="1" a="1"/>
  <c r="CM112" i="1" s="1"/>
  <c r="CN112" i="1" a="1"/>
  <c r="CN112" i="1" s="1"/>
  <c r="CO112" i="1" a="1"/>
  <c r="CO112" i="1" s="1"/>
  <c r="CP112" i="1" a="1"/>
  <c r="CP112" i="1" s="1"/>
  <c r="CQ112" i="1" a="1"/>
  <c r="CQ112" i="1" s="1"/>
  <c r="CR112" i="1" a="1"/>
  <c r="CR112" i="1"/>
  <c r="CS112" i="1" a="1"/>
  <c r="CS112" i="1" s="1"/>
  <c r="CT112" i="1" a="1"/>
  <c r="CT112" i="1"/>
  <c r="CU112" i="1" a="1"/>
  <c r="CU112" i="1" s="1"/>
  <c r="CV112" i="1" a="1"/>
  <c r="CV112" i="1" s="1"/>
  <c r="CW112" i="1" a="1"/>
  <c r="CW112" i="1" s="1"/>
  <c r="CX112" i="1" a="1"/>
  <c r="CX112" i="1" s="1"/>
  <c r="CY112" i="1" a="1"/>
  <c r="CY112" i="1" s="1"/>
  <c r="CZ112" i="1" a="1"/>
  <c r="CZ112" i="1"/>
  <c r="DA112" i="1" a="1"/>
  <c r="DA112" i="1" s="1"/>
  <c r="DB112" i="1" a="1"/>
  <c r="DB112" i="1" s="1"/>
  <c r="DC112" i="1" a="1"/>
  <c r="DC112" i="1"/>
  <c r="DD112" i="1" a="1"/>
  <c r="DD112" i="1"/>
  <c r="DE112" i="1" a="1"/>
  <c r="DE112" i="1" s="1"/>
  <c r="CI113" i="1" a="1"/>
  <c r="CI113" i="1" s="1"/>
  <c r="CJ113" i="1" a="1"/>
  <c r="CJ113" i="1"/>
  <c r="CK113" i="1" a="1"/>
  <c r="CK113" i="1" s="1"/>
  <c r="CL113" i="1" a="1"/>
  <c r="CL113" i="1" s="1"/>
  <c r="CM113" i="1" a="1"/>
  <c r="CM113" i="1"/>
  <c r="CN113" i="1" a="1"/>
  <c r="CN113" i="1" s="1"/>
  <c r="CO113" i="1" a="1"/>
  <c r="CO113" i="1"/>
  <c r="CP113" i="1" a="1"/>
  <c r="CP113" i="1" s="1"/>
  <c r="CQ113" i="1" a="1"/>
  <c r="CQ113" i="1" s="1"/>
  <c r="CR113" i="1" a="1"/>
  <c r="CR113" i="1"/>
  <c r="CS113" i="1" a="1"/>
  <c r="CS113" i="1" s="1"/>
  <c r="CT113" i="1" a="1"/>
  <c r="CT113" i="1" s="1"/>
  <c r="CU113" i="1" a="1"/>
  <c r="CU113" i="1" s="1"/>
  <c r="CV113" i="1" a="1"/>
  <c r="CV113" i="1"/>
  <c r="CW113" i="1" a="1"/>
  <c r="CW113" i="1" s="1"/>
  <c r="CX113" i="1" a="1"/>
  <c r="CX113" i="1"/>
  <c r="CY113" i="1" a="1"/>
  <c r="CY113" i="1" s="1"/>
  <c r="CZ113" i="1" a="1"/>
  <c r="CZ113" i="1" s="1"/>
  <c r="DA113" i="1" a="1"/>
  <c r="DA113" i="1" s="1"/>
  <c r="DB113" i="1" a="1"/>
  <c r="DB113" i="1"/>
  <c r="DC113" i="1" a="1"/>
  <c r="DC113" i="1" s="1"/>
  <c r="DD113" i="1" a="1"/>
  <c r="DD113" i="1" s="1"/>
  <c r="DE113" i="1" a="1"/>
  <c r="DE113" i="1"/>
  <c r="CI114" i="1" a="1"/>
  <c r="CI114" i="1" s="1"/>
  <c r="CJ114" i="1" a="1"/>
  <c r="CJ114" i="1" s="1"/>
  <c r="CK114" i="1" a="1"/>
  <c r="CK114" i="1" s="1"/>
  <c r="CL114" i="1" a="1"/>
  <c r="CL114" i="1" s="1"/>
  <c r="CM114" i="1" a="1"/>
  <c r="CM114" i="1" s="1"/>
  <c r="CN114" i="1" a="1"/>
  <c r="CN114" i="1" s="1"/>
  <c r="CO114" i="1" a="1"/>
  <c r="CO114" i="1" s="1"/>
  <c r="CP114" i="1" a="1"/>
  <c r="CP114" i="1"/>
  <c r="CQ114" i="1" a="1"/>
  <c r="CQ114" i="1" s="1"/>
  <c r="CR114" i="1" a="1"/>
  <c r="CR114" i="1" s="1"/>
  <c r="CS114" i="1" a="1"/>
  <c r="CS114" i="1"/>
  <c r="CT114" i="1" a="1"/>
  <c r="CT114" i="1"/>
  <c r="CU114" i="1" a="1"/>
  <c r="CU114" i="1" s="1"/>
  <c r="CV114" i="1" a="1"/>
  <c r="CV114" i="1" s="1"/>
  <c r="CW114" i="1" a="1"/>
  <c r="CW114" i="1" s="1"/>
  <c r="CX114" i="1" a="1"/>
  <c r="CX114" i="1" s="1"/>
  <c r="CY114" i="1" a="1"/>
  <c r="CY114" i="1" s="1"/>
  <c r="CZ114" i="1" a="1"/>
  <c r="CZ114" i="1"/>
  <c r="DA114" i="1" a="1"/>
  <c r="DA114" i="1" s="1"/>
  <c r="DB114" i="1" a="1"/>
  <c r="DB114" i="1"/>
  <c r="DC114" i="1" a="1"/>
  <c r="DC114" i="1" s="1"/>
  <c r="DD114" i="1" a="1"/>
  <c r="DD114" i="1" s="1"/>
  <c r="DE114" i="1" a="1"/>
  <c r="DE114" i="1" s="1"/>
  <c r="CI115" i="1" a="1"/>
  <c r="CI115" i="1" s="1"/>
  <c r="CJ115" i="1" a="1"/>
  <c r="CJ115" i="1" s="1"/>
  <c r="CK115" i="1" a="1"/>
  <c r="CK115" i="1"/>
  <c r="CL115" i="1" a="1"/>
  <c r="CL115" i="1" s="1"/>
  <c r="CM115" i="1" a="1"/>
  <c r="CM115" i="1" s="1"/>
  <c r="CN115" i="1" a="1"/>
  <c r="CN115" i="1"/>
  <c r="CO115" i="1" a="1"/>
  <c r="CO115" i="1"/>
  <c r="CP115" i="1" a="1"/>
  <c r="CP115" i="1" s="1"/>
  <c r="CQ115" i="1" a="1"/>
  <c r="CQ115" i="1" s="1"/>
  <c r="CR115" i="1" a="1"/>
  <c r="CR115" i="1"/>
  <c r="CS115" i="1" a="1"/>
  <c r="CS115" i="1" s="1"/>
  <c r="CT115" i="1" a="1"/>
  <c r="CT115" i="1" s="1"/>
  <c r="CU115" i="1" a="1"/>
  <c r="CU115" i="1"/>
  <c r="CV115" i="1" a="1"/>
  <c r="CV115" i="1" s="1"/>
  <c r="CW115" i="1" a="1"/>
  <c r="CW115" i="1"/>
  <c r="CX115" i="1" a="1"/>
  <c r="CX115" i="1" s="1"/>
  <c r="CY115" i="1" a="1"/>
  <c r="CY115" i="1" s="1"/>
  <c r="CZ115" i="1" a="1"/>
  <c r="CZ115" i="1"/>
  <c r="DA115" i="1" a="1"/>
  <c r="DA115" i="1" s="1"/>
  <c r="DB115" i="1" a="1"/>
  <c r="DB115" i="1" s="1"/>
  <c r="DC115" i="1" a="1"/>
  <c r="DC115" i="1" s="1"/>
  <c r="DD115" i="1" a="1"/>
  <c r="DD115" i="1"/>
  <c r="DE115" i="1" a="1"/>
  <c r="DE115" i="1" s="1"/>
  <c r="CI116" i="1" a="1"/>
  <c r="CI116" i="1"/>
  <c r="CJ116" i="1" a="1"/>
  <c r="CJ116" i="1" s="1"/>
  <c r="CK116" i="1" a="1"/>
  <c r="CK116" i="1" s="1"/>
  <c r="CL116" i="1" a="1"/>
  <c r="CL116" i="1" s="1"/>
  <c r="CM116" i="1" a="1"/>
  <c r="CM116" i="1"/>
  <c r="CN116" i="1" a="1"/>
  <c r="CN116" i="1" s="1"/>
  <c r="CO116" i="1" a="1"/>
  <c r="CO116" i="1" s="1"/>
  <c r="CP116" i="1" a="1"/>
  <c r="CP116" i="1"/>
  <c r="CQ116" i="1" a="1"/>
  <c r="CQ116" i="1" s="1"/>
  <c r="CR116" i="1" a="1"/>
  <c r="CR116" i="1" s="1"/>
  <c r="CS116" i="1" a="1"/>
  <c r="CS116" i="1" s="1"/>
  <c r="CT116" i="1" a="1"/>
  <c r="CT116" i="1" s="1"/>
  <c r="CU116" i="1" a="1"/>
  <c r="CU116" i="1" s="1"/>
  <c r="CV116" i="1" a="1"/>
  <c r="CV116" i="1" s="1"/>
  <c r="CW116" i="1" a="1"/>
  <c r="CW116" i="1" s="1"/>
  <c r="CX116" i="1" a="1"/>
  <c r="CX116" i="1"/>
  <c r="CY116" i="1" a="1"/>
  <c r="CY116" i="1" s="1"/>
  <c r="CZ116" i="1" a="1"/>
  <c r="CZ116" i="1" s="1"/>
  <c r="DA116" i="1" a="1"/>
  <c r="DA116" i="1"/>
  <c r="DB116" i="1" a="1"/>
  <c r="DB116" i="1"/>
  <c r="DC116" i="1" a="1"/>
  <c r="DC116" i="1" s="1"/>
  <c r="DD116" i="1" a="1"/>
  <c r="DD116" i="1" s="1"/>
  <c r="DE116" i="1" a="1"/>
  <c r="DE116" i="1" s="1"/>
  <c r="CI117" i="1" a="1"/>
  <c r="CI117" i="1" s="1"/>
  <c r="CJ117" i="1" a="1"/>
  <c r="CJ117" i="1" s="1"/>
  <c r="CK117" i="1" a="1"/>
  <c r="CK117" i="1"/>
  <c r="CL117" i="1" a="1"/>
  <c r="CL117" i="1" s="1"/>
  <c r="CM117" i="1" a="1"/>
  <c r="CM117" i="1"/>
  <c r="CN117" i="1" a="1"/>
  <c r="CN117" i="1" s="1"/>
  <c r="CO117" i="1" a="1"/>
  <c r="CO117" i="1" s="1"/>
  <c r="CP117" i="1" a="1"/>
  <c r="CP117" i="1" s="1"/>
  <c r="CQ117" i="1" a="1"/>
  <c r="CQ117" i="1" s="1"/>
  <c r="CR117" i="1" a="1"/>
  <c r="CR117" i="1" s="1"/>
  <c r="CS117" i="1" a="1"/>
  <c r="CS117" i="1"/>
  <c r="CT117" i="1" a="1"/>
  <c r="CT117" i="1" s="1"/>
  <c r="CU117" i="1" a="1"/>
  <c r="CU117" i="1" s="1"/>
  <c r="CV117" i="1" a="1"/>
  <c r="CV117" i="1"/>
  <c r="CW117" i="1" a="1"/>
  <c r="CW117" i="1"/>
  <c r="CX117" i="1" a="1"/>
  <c r="CX117" i="1" s="1"/>
  <c r="CY117" i="1" a="1"/>
  <c r="CY117" i="1" s="1"/>
  <c r="CZ117" i="1" a="1"/>
  <c r="CZ117" i="1"/>
  <c r="DA117" i="1" a="1"/>
  <c r="DA117" i="1" s="1"/>
  <c r="DB117" i="1" a="1"/>
  <c r="DB117" i="1" s="1"/>
  <c r="DC117" i="1" a="1"/>
  <c r="DC117" i="1"/>
  <c r="DD117" i="1" a="1"/>
  <c r="DD117" i="1" s="1"/>
  <c r="DE117" i="1" a="1"/>
  <c r="DE117" i="1"/>
  <c r="CI118" i="1" a="1"/>
  <c r="CI118" i="1" s="1"/>
  <c r="CJ118" i="1" a="1"/>
  <c r="CJ118" i="1" s="1"/>
  <c r="CK118" i="1" a="1"/>
  <c r="CK118" i="1"/>
  <c r="CL118" i="1" a="1"/>
  <c r="CL118" i="1" s="1"/>
  <c r="CM118" i="1" a="1"/>
  <c r="CM118" i="1" s="1"/>
  <c r="CN118" i="1" a="1"/>
  <c r="CN118" i="1" s="1"/>
  <c r="CO118" i="1" a="1"/>
  <c r="CO118" i="1"/>
  <c r="CP118" i="1" a="1"/>
  <c r="CP118" i="1" s="1"/>
  <c r="CQ118" i="1" a="1"/>
  <c r="CQ118" i="1"/>
  <c r="CR118" i="1" a="1"/>
  <c r="CR118" i="1" s="1"/>
  <c r="CS118" i="1" a="1"/>
  <c r="CS118" i="1" s="1"/>
  <c r="CT118" i="1" a="1"/>
  <c r="CT118" i="1" s="1"/>
  <c r="CU118" i="1" a="1"/>
  <c r="CU118" i="1"/>
  <c r="CV118" i="1" a="1"/>
  <c r="CV118" i="1" s="1"/>
  <c r="CW118" i="1" a="1"/>
  <c r="CW118" i="1" s="1"/>
  <c r="CX118" i="1" a="1"/>
  <c r="CX118" i="1"/>
  <c r="CY118" i="1" a="1"/>
  <c r="CY118" i="1" s="1"/>
  <c r="CZ118" i="1" a="1"/>
  <c r="CZ118" i="1" s="1"/>
  <c r="DA118" i="1" a="1"/>
  <c r="DA118" i="1" s="1"/>
  <c r="DB118" i="1" a="1"/>
  <c r="DB118" i="1" s="1"/>
  <c r="DC118" i="1" a="1"/>
  <c r="DC118" i="1" s="1"/>
  <c r="DD118" i="1" a="1"/>
  <c r="DD118" i="1" s="1"/>
  <c r="DE118" i="1" a="1"/>
  <c r="DE118" i="1" s="1"/>
  <c r="CI119" i="1" a="1"/>
  <c r="CI119" i="1"/>
  <c r="CJ119" i="1" a="1"/>
  <c r="CJ119" i="1" s="1"/>
  <c r="CK119" i="1" a="1"/>
  <c r="CK119" i="1" s="1"/>
  <c r="CL119" i="1" a="1"/>
  <c r="CL119" i="1"/>
  <c r="CM119" i="1" a="1"/>
  <c r="CM119" i="1"/>
  <c r="CN119" i="1" a="1"/>
  <c r="CN119" i="1" s="1"/>
  <c r="CO119" i="1" a="1"/>
  <c r="CO119" i="1" s="1"/>
  <c r="CP119" i="1" a="1"/>
  <c r="CP119" i="1" s="1"/>
  <c r="CQ119" i="1" a="1"/>
  <c r="CQ119" i="1" s="1"/>
  <c r="CR119" i="1" a="1"/>
  <c r="CR119" i="1" s="1"/>
  <c r="CS119" i="1" a="1"/>
  <c r="CS119" i="1"/>
  <c r="CT119" i="1" a="1"/>
  <c r="CT119" i="1" s="1"/>
  <c r="CU119" i="1" a="1"/>
  <c r="CU119" i="1"/>
  <c r="CV119" i="1" a="1"/>
  <c r="CV119" i="1" s="1"/>
  <c r="CW119" i="1" a="1"/>
  <c r="CW119" i="1" s="1"/>
  <c r="CX119" i="1" a="1"/>
  <c r="CX119" i="1" s="1"/>
  <c r="CY119" i="1" a="1"/>
  <c r="CY119" i="1" s="1"/>
  <c r="CZ119" i="1" a="1"/>
  <c r="CZ119" i="1" s="1"/>
  <c r="DA119" i="1" a="1"/>
  <c r="DA119" i="1"/>
  <c r="DB119" i="1" a="1"/>
  <c r="DB119" i="1" s="1"/>
  <c r="DC119" i="1" a="1"/>
  <c r="DC119" i="1" s="1"/>
  <c r="DD119" i="1" a="1"/>
  <c r="DD119" i="1"/>
  <c r="DE119" i="1" a="1"/>
  <c r="DE119" i="1"/>
  <c r="CI120" i="1" a="1"/>
  <c r="CI120" i="1" s="1"/>
  <c r="CJ120" i="1" a="1"/>
  <c r="CJ120" i="1" s="1"/>
  <c r="CK120" i="1" a="1"/>
  <c r="CK120" i="1"/>
  <c r="CL120" i="1" a="1"/>
  <c r="CL120" i="1" s="1"/>
  <c r="CM120" i="1" a="1"/>
  <c r="CM120" i="1" s="1"/>
  <c r="CN120" i="1" a="1"/>
  <c r="CN120" i="1"/>
  <c r="CO120" i="1" a="1"/>
  <c r="CO120" i="1" s="1"/>
  <c r="CP120" i="1" a="1"/>
  <c r="CP120" i="1"/>
  <c r="CQ120" i="1" a="1"/>
  <c r="CQ120" i="1" s="1"/>
  <c r="CR120" i="1" a="1"/>
  <c r="CR120" i="1" s="1"/>
  <c r="CS120" i="1" a="1"/>
  <c r="CS120" i="1"/>
  <c r="CT120" i="1" a="1"/>
  <c r="CT120" i="1" s="1"/>
  <c r="CU120" i="1" a="1"/>
  <c r="CU120" i="1" s="1"/>
  <c r="CV120" i="1" a="1"/>
  <c r="CV120" i="1" s="1"/>
  <c r="CW120" i="1" a="1"/>
  <c r="CW120" i="1"/>
  <c r="CX120" i="1" a="1"/>
  <c r="CX120" i="1" s="1"/>
  <c r="CY120" i="1" a="1"/>
  <c r="CY120" i="1"/>
  <c r="CZ120" i="1" a="1"/>
  <c r="CZ120" i="1" s="1"/>
  <c r="DA120" i="1" a="1"/>
  <c r="DA120" i="1" s="1"/>
  <c r="DB120" i="1" a="1"/>
  <c r="DB120" i="1" s="1"/>
  <c r="DC120" i="1" a="1"/>
  <c r="DC120" i="1"/>
  <c r="DD120" i="1" a="1"/>
  <c r="DD120" i="1" s="1"/>
  <c r="DE120" i="1" a="1"/>
  <c r="DE120" i="1" s="1"/>
  <c r="CI121" i="1" a="1"/>
  <c r="CI121" i="1"/>
  <c r="CJ121" i="1" a="1"/>
  <c r="CJ121" i="1" s="1"/>
  <c r="CK121" i="1" a="1"/>
  <c r="CK121" i="1" s="1"/>
  <c r="CL121" i="1" a="1"/>
  <c r="CL121" i="1" s="1"/>
  <c r="CM121" i="1" a="1"/>
  <c r="CM121" i="1" s="1"/>
  <c r="CN121" i="1" a="1"/>
  <c r="CN121" i="1" s="1"/>
  <c r="CO121" i="1" a="1"/>
  <c r="CO121" i="1" s="1"/>
  <c r="CP121" i="1" a="1"/>
  <c r="CP121" i="1" s="1"/>
  <c r="CQ121" i="1" a="1"/>
  <c r="CQ121" i="1"/>
  <c r="CR121" i="1" a="1"/>
  <c r="CR121" i="1" s="1"/>
  <c r="CS121" i="1" a="1"/>
  <c r="CS121" i="1" s="1"/>
  <c r="CT121" i="1" a="1"/>
  <c r="CT121" i="1"/>
  <c r="CU121" i="1" a="1"/>
  <c r="CU121" i="1"/>
  <c r="CV121" i="1" a="1"/>
  <c r="CV121" i="1" s="1"/>
  <c r="CW121" i="1" a="1"/>
  <c r="CW121" i="1" s="1"/>
  <c r="CX121" i="1" a="1"/>
  <c r="CX121" i="1" s="1"/>
  <c r="CY121" i="1" a="1"/>
  <c r="CY121" i="1" s="1"/>
  <c r="CZ121" i="1" a="1"/>
  <c r="CZ121" i="1" s="1"/>
  <c r="DA121" i="1" a="1"/>
  <c r="DA121" i="1"/>
  <c r="DB121" i="1" a="1"/>
  <c r="DB121" i="1" s="1"/>
  <c r="DC121" i="1" a="1"/>
  <c r="DC121" i="1"/>
  <c r="DD121" i="1" a="1"/>
  <c r="DD121" i="1" s="1"/>
  <c r="DE121" i="1" a="1"/>
  <c r="DE121" i="1" s="1"/>
  <c r="CI122" i="1" a="1"/>
  <c r="CI122" i="1" s="1"/>
  <c r="CJ122" i="1" a="1"/>
  <c r="CJ122" i="1" s="1"/>
  <c r="CK122" i="1" a="1"/>
  <c r="CK122" i="1" s="1"/>
  <c r="CL122" i="1" a="1"/>
  <c r="CL122" i="1"/>
  <c r="CM122" i="1" a="1"/>
  <c r="CM122" i="1" s="1"/>
  <c r="CN122" i="1" a="1"/>
  <c r="CN122" i="1" s="1"/>
  <c r="CO122" i="1" a="1"/>
  <c r="CO122" i="1"/>
  <c r="CP122" i="1" a="1"/>
  <c r="CP122" i="1"/>
  <c r="CQ122" i="1" a="1"/>
  <c r="CQ122" i="1" s="1"/>
  <c r="CR122" i="1" a="1"/>
  <c r="CR122" i="1" s="1"/>
  <c r="CS122" i="1" a="1"/>
  <c r="CS122" i="1"/>
  <c r="CT122" i="1" a="1"/>
  <c r="CT122" i="1" s="1"/>
  <c r="CU122" i="1" a="1"/>
  <c r="CU122" i="1" s="1"/>
  <c r="CV122" i="1" a="1"/>
  <c r="CV122" i="1"/>
  <c r="CW122" i="1" a="1"/>
  <c r="CW122" i="1" s="1"/>
  <c r="CX122" i="1" a="1"/>
  <c r="CX122" i="1"/>
  <c r="CY122" i="1" a="1"/>
  <c r="CY122" i="1" s="1"/>
  <c r="CZ122" i="1" a="1"/>
  <c r="CZ122" i="1" s="1"/>
  <c r="DA122" i="1" a="1"/>
  <c r="DA122" i="1"/>
  <c r="DB122" i="1" a="1"/>
  <c r="DB122" i="1" s="1"/>
  <c r="DC122" i="1" a="1"/>
  <c r="DC122" i="1" s="1"/>
  <c r="DD122" i="1" a="1"/>
  <c r="DD122" i="1" s="1"/>
  <c r="DE122" i="1" a="1"/>
  <c r="DE122" i="1"/>
  <c r="CI123" i="1" a="1"/>
  <c r="CI123" i="1" s="1"/>
  <c r="CJ123" i="1" a="1"/>
  <c r="CJ123" i="1"/>
  <c r="CK123" i="1" a="1"/>
  <c r="CK123" i="1" s="1"/>
  <c r="CL123" i="1" a="1"/>
  <c r="CL123" i="1" s="1"/>
  <c r="CM123" i="1" a="1"/>
  <c r="CM123" i="1" s="1"/>
  <c r="CN123" i="1" a="1"/>
  <c r="CN123" i="1"/>
  <c r="CO123" i="1" a="1"/>
  <c r="CO123" i="1" s="1"/>
  <c r="CP123" i="1" a="1"/>
  <c r="CP123" i="1" s="1"/>
  <c r="CQ123" i="1" a="1"/>
  <c r="CQ123" i="1"/>
  <c r="CR123" i="1" a="1"/>
  <c r="CR123" i="1" s="1"/>
  <c r="CS123" i="1" a="1"/>
  <c r="CS123" i="1" s="1"/>
  <c r="CT123" i="1" a="1"/>
  <c r="CT123" i="1" s="1"/>
  <c r="CU123" i="1" a="1"/>
  <c r="CU123" i="1" s="1"/>
  <c r="CV123" i="1" a="1"/>
  <c r="CV123" i="1" s="1"/>
  <c r="CW123" i="1" a="1"/>
  <c r="CW123" i="1" s="1"/>
  <c r="CX123" i="1" a="1"/>
  <c r="CX123" i="1" s="1"/>
  <c r="CY123" i="1" a="1"/>
  <c r="CY123" i="1"/>
  <c r="CZ123" i="1" a="1"/>
  <c r="CZ123" i="1" s="1"/>
  <c r="DA123" i="1" a="1"/>
  <c r="DA123" i="1" s="1"/>
  <c r="DB123" i="1" a="1"/>
  <c r="DB123" i="1"/>
  <c r="DC123" i="1" a="1"/>
  <c r="DC123" i="1"/>
  <c r="DD123" i="1" a="1"/>
  <c r="DD123" i="1" s="1"/>
  <c r="DE123" i="1" a="1"/>
  <c r="DE123" i="1" s="1"/>
  <c r="CI124" i="1" a="1"/>
  <c r="CI124" i="1" s="1"/>
  <c r="CJ124" i="1" a="1"/>
  <c r="CJ124" i="1" s="1"/>
  <c r="CK124" i="1" a="1"/>
  <c r="CK124" i="1" s="1"/>
  <c r="CL124" i="1" a="1"/>
  <c r="CL124" i="1"/>
  <c r="CM124" i="1" a="1"/>
  <c r="CM124" i="1" s="1"/>
  <c r="CN124" i="1" a="1"/>
  <c r="CN124" i="1"/>
  <c r="CO124" i="1" a="1"/>
  <c r="CO124" i="1" s="1"/>
  <c r="CP124" i="1" a="1"/>
  <c r="CP124" i="1" s="1"/>
  <c r="CQ124" i="1" a="1"/>
  <c r="CQ124" i="1" s="1"/>
  <c r="CR124" i="1" a="1"/>
  <c r="CR124" i="1" s="1"/>
  <c r="CS124" i="1" a="1"/>
  <c r="CS124" i="1" s="1"/>
  <c r="CT124" i="1" a="1"/>
  <c r="CT124" i="1"/>
  <c r="CU124" i="1" a="1"/>
  <c r="CU124" i="1" s="1"/>
  <c r="CV124" i="1" a="1"/>
  <c r="CV124" i="1" s="1"/>
  <c r="CW124" i="1" a="1"/>
  <c r="CW124" i="1"/>
  <c r="CX124" i="1" a="1"/>
  <c r="CX124" i="1"/>
  <c r="CY124" i="1" a="1"/>
  <c r="CY124" i="1" s="1"/>
  <c r="CZ124" i="1" a="1"/>
  <c r="CZ124" i="1" s="1"/>
  <c r="DA124" i="1" a="1"/>
  <c r="DA124" i="1"/>
  <c r="DB124" i="1" a="1"/>
  <c r="DB124" i="1" s="1"/>
  <c r="DC124" i="1" a="1"/>
  <c r="DC124" i="1" s="1"/>
  <c r="DD124" i="1" a="1"/>
  <c r="DD124" i="1"/>
  <c r="DE124" i="1" a="1"/>
  <c r="DE124" i="1" s="1"/>
  <c r="CI125" i="1" a="1"/>
  <c r="CI125" i="1"/>
  <c r="CJ125" i="1" a="1"/>
  <c r="CJ125" i="1" s="1"/>
  <c r="CK125" i="1" a="1"/>
  <c r="CK125" i="1" s="1"/>
  <c r="CL125" i="1" a="1"/>
  <c r="CL125" i="1"/>
  <c r="CM125" i="1" a="1"/>
  <c r="CM125" i="1" s="1"/>
  <c r="CN125" i="1" a="1"/>
  <c r="CN125" i="1" s="1"/>
  <c r="CO125" i="1" a="1"/>
  <c r="CO125" i="1" s="1"/>
  <c r="CP125" i="1" a="1"/>
  <c r="CP125" i="1"/>
  <c r="CQ125" i="1" a="1"/>
  <c r="CQ125" i="1" s="1"/>
  <c r="CR125" i="1" a="1"/>
  <c r="CR125" i="1"/>
  <c r="CS125" i="1" a="1"/>
  <c r="CS125" i="1" s="1"/>
  <c r="CT125" i="1" a="1"/>
  <c r="CT125" i="1" s="1"/>
  <c r="CU125" i="1" a="1"/>
  <c r="CU125" i="1" s="1"/>
  <c r="CV125" i="1" a="1"/>
  <c r="CV125" i="1"/>
  <c r="CW125" i="1" a="1"/>
  <c r="CW125" i="1" s="1"/>
  <c r="CX125" i="1" a="1"/>
  <c r="CX125" i="1" s="1"/>
  <c r="CY125" i="1" a="1"/>
  <c r="CY125" i="1"/>
  <c r="CZ125" i="1" a="1"/>
  <c r="CZ125" i="1" s="1"/>
  <c r="DA125" i="1" a="1"/>
  <c r="DA125" i="1" s="1"/>
  <c r="DB125" i="1" a="1"/>
  <c r="DB125" i="1" s="1"/>
  <c r="DC125" i="1" a="1"/>
  <c r="DC125" i="1" s="1"/>
  <c r="DD125" i="1" a="1"/>
  <c r="DD125" i="1" s="1"/>
  <c r="DE125" i="1" a="1"/>
  <c r="DE125" i="1" s="1"/>
  <c r="CI126" i="1" a="1"/>
  <c r="CI126" i="1" s="1"/>
  <c r="CJ126" i="1" a="1"/>
  <c r="CJ126" i="1"/>
  <c r="CK126" i="1" a="1"/>
  <c r="CK126" i="1" s="1"/>
  <c r="CL126" i="1" a="1"/>
  <c r="CL126" i="1" s="1"/>
  <c r="CM126" i="1" a="1"/>
  <c r="CM126" i="1"/>
  <c r="CN126" i="1" a="1"/>
  <c r="CN126" i="1"/>
  <c r="CO126" i="1" a="1"/>
  <c r="CO126" i="1" s="1"/>
  <c r="CP126" i="1" a="1"/>
  <c r="CP126" i="1" s="1"/>
  <c r="CQ126" i="1" a="1"/>
  <c r="CQ126" i="1" s="1"/>
  <c r="CR126" i="1" a="1"/>
  <c r="CR126" i="1" s="1"/>
  <c r="CS126" i="1" a="1"/>
  <c r="CS126" i="1" s="1"/>
  <c r="CT126" i="1" a="1"/>
  <c r="CT126" i="1"/>
  <c r="CU126" i="1" a="1"/>
  <c r="CU126" i="1" s="1"/>
  <c r="CV126" i="1" a="1"/>
  <c r="CV126" i="1"/>
  <c r="CW126" i="1" a="1"/>
  <c r="CW126" i="1" s="1"/>
  <c r="CX126" i="1" a="1"/>
  <c r="CX126" i="1" s="1"/>
  <c r="CY126" i="1" a="1"/>
  <c r="CY126" i="1" s="1"/>
  <c r="CZ126" i="1" a="1"/>
  <c r="CZ126" i="1" s="1"/>
  <c r="DA126" i="1" a="1"/>
  <c r="DA126" i="1" s="1"/>
  <c r="DB126" i="1" a="1"/>
  <c r="DB126" i="1"/>
  <c r="DC126" i="1" a="1"/>
  <c r="DC126" i="1" s="1"/>
  <c r="DD126" i="1" a="1"/>
  <c r="DD126" i="1" s="1"/>
  <c r="DE126" i="1" a="1"/>
  <c r="DE126" i="1"/>
  <c r="CI127" i="1" a="1"/>
  <c r="CI127" i="1"/>
  <c r="CJ127" i="1" a="1"/>
  <c r="CJ127" i="1" s="1"/>
  <c r="CK127" i="1" a="1"/>
  <c r="CK127" i="1" s="1"/>
  <c r="CL127" i="1" a="1"/>
  <c r="CL127" i="1"/>
  <c r="CM127" i="1" a="1"/>
  <c r="CM127" i="1" s="1"/>
  <c r="CN127" i="1" a="1"/>
  <c r="CN127" i="1" s="1"/>
  <c r="CO127" i="1" a="1"/>
  <c r="CO127" i="1"/>
  <c r="CP127" i="1" a="1"/>
  <c r="CP127" i="1" s="1"/>
  <c r="CQ127" i="1" a="1"/>
  <c r="CQ127" i="1"/>
  <c r="CR127" i="1" a="1"/>
  <c r="CR127" i="1" s="1"/>
  <c r="CS127" i="1" a="1"/>
  <c r="CS127" i="1" s="1"/>
  <c r="CT127" i="1" a="1"/>
  <c r="CT127" i="1"/>
  <c r="CU127" i="1" a="1"/>
  <c r="CU127" i="1" s="1"/>
  <c r="CV127" i="1" a="1"/>
  <c r="CV127" i="1" s="1"/>
  <c r="CW127" i="1" a="1"/>
  <c r="CW127" i="1" s="1"/>
  <c r="CX127" i="1" a="1"/>
  <c r="CX127" i="1"/>
  <c r="CY127" i="1" a="1"/>
  <c r="CY127" i="1" s="1"/>
  <c r="CZ127" i="1" a="1"/>
  <c r="CZ127" i="1"/>
  <c r="DA127" i="1" a="1"/>
  <c r="DA127" i="1" s="1"/>
  <c r="DB127" i="1" a="1"/>
  <c r="DB127" i="1" s="1"/>
  <c r="DC127" i="1" a="1"/>
  <c r="DC127" i="1" s="1"/>
  <c r="DD127" i="1" a="1"/>
  <c r="DD127" i="1"/>
  <c r="DE127" i="1" a="1"/>
  <c r="DE127" i="1" s="1"/>
  <c r="CI128" i="1" a="1"/>
  <c r="CI128" i="1" s="1"/>
  <c r="CJ128" i="1" a="1"/>
  <c r="CJ128" i="1"/>
  <c r="CK128" i="1" a="1"/>
  <c r="CK128" i="1" s="1"/>
  <c r="CL128" i="1" a="1"/>
  <c r="CL128" i="1" s="1"/>
  <c r="CM128" i="1" a="1"/>
  <c r="CM128" i="1" s="1"/>
  <c r="CN128" i="1" a="1"/>
  <c r="CN128" i="1" s="1"/>
  <c r="CO128" i="1" a="1"/>
  <c r="CO128" i="1" s="1"/>
  <c r="CP128" i="1" a="1"/>
  <c r="CP128" i="1" s="1"/>
  <c r="CQ128" i="1" a="1"/>
  <c r="CQ128" i="1" s="1"/>
  <c r="CR128" i="1" a="1"/>
  <c r="CR128" i="1"/>
  <c r="CS128" i="1" a="1"/>
  <c r="CS128" i="1" s="1"/>
  <c r="CT128" i="1" a="1"/>
  <c r="CT128" i="1" s="1"/>
  <c r="CU128" i="1" a="1"/>
  <c r="CU128" i="1"/>
  <c r="CV128" i="1" a="1"/>
  <c r="CV128" i="1"/>
  <c r="CW128" i="1" a="1"/>
  <c r="CW128" i="1" s="1"/>
  <c r="CX128" i="1" a="1"/>
  <c r="CX128" i="1" s="1"/>
  <c r="CY128" i="1" a="1"/>
  <c r="CY128" i="1" s="1"/>
  <c r="CZ128" i="1" a="1"/>
  <c r="CZ128" i="1" s="1"/>
  <c r="DA128" i="1" a="1"/>
  <c r="DA128" i="1" s="1"/>
  <c r="DB128" i="1" a="1"/>
  <c r="DB128" i="1"/>
  <c r="DC128" i="1" a="1"/>
  <c r="DC128" i="1" s="1"/>
  <c r="DD128" i="1" a="1"/>
  <c r="DD128" i="1"/>
  <c r="DE128" i="1" a="1"/>
  <c r="DE128" i="1" s="1"/>
  <c r="CI129" i="1" a="1"/>
  <c r="CI129" i="1" s="1"/>
  <c r="CJ129" i="1" a="1"/>
  <c r="CJ129" i="1" s="1"/>
  <c r="CK129" i="1" a="1"/>
  <c r="CK129" i="1" s="1"/>
  <c r="CL129" i="1" a="1"/>
  <c r="CL129" i="1" s="1"/>
  <c r="CM129" i="1" a="1"/>
  <c r="CM129" i="1"/>
  <c r="CN129" i="1" a="1"/>
  <c r="CN129" i="1" s="1"/>
  <c r="CO129" i="1" a="1"/>
  <c r="CO129" i="1" s="1"/>
  <c r="CP129" i="1" a="1"/>
  <c r="CP129" i="1"/>
  <c r="CQ129" i="1" a="1"/>
  <c r="CQ129" i="1"/>
  <c r="CR129" i="1" a="1"/>
  <c r="CR129" i="1" s="1"/>
  <c r="CS129" i="1" a="1"/>
  <c r="CS129" i="1" s="1"/>
  <c r="CT129" i="1" a="1"/>
  <c r="CT129" i="1"/>
  <c r="CU129" i="1" a="1"/>
  <c r="CU129" i="1" s="1"/>
  <c r="CV129" i="1" a="1"/>
  <c r="CV129" i="1" s="1"/>
  <c r="CW129" i="1" a="1"/>
  <c r="CW129" i="1"/>
  <c r="CX129" i="1" a="1"/>
  <c r="CX129" i="1" s="1"/>
  <c r="CY129" i="1" a="1"/>
  <c r="CY129" i="1"/>
  <c r="CZ129" i="1" a="1"/>
  <c r="CZ129" i="1" s="1"/>
  <c r="DA129" i="1" a="1"/>
  <c r="DA129" i="1" s="1"/>
  <c r="DB129" i="1" a="1"/>
  <c r="DB129" i="1"/>
  <c r="DC129" i="1" a="1"/>
  <c r="DC129" i="1" s="1"/>
  <c r="DD129" i="1" a="1"/>
  <c r="DD129" i="1" s="1"/>
  <c r="DE129" i="1" a="1"/>
  <c r="DE129" i="1" s="1"/>
  <c r="CI130" i="1" a="1"/>
  <c r="CI130" i="1"/>
  <c r="CJ130" i="1" a="1"/>
  <c r="CJ130" i="1" s="1"/>
  <c r="CK130" i="1" a="1"/>
  <c r="CK130" i="1"/>
  <c r="CL130" i="1" a="1"/>
  <c r="CL130" i="1" s="1"/>
  <c r="CM130" i="1" a="1"/>
  <c r="CM130" i="1" s="1"/>
  <c r="CN130" i="1" a="1"/>
  <c r="CN130" i="1" s="1"/>
  <c r="CO130" i="1" a="1"/>
  <c r="CO130" i="1"/>
  <c r="CP130" i="1" a="1"/>
  <c r="CP130" i="1" s="1"/>
  <c r="CQ130" i="1" a="1"/>
  <c r="CQ130" i="1" s="1"/>
  <c r="CR130" i="1" a="1"/>
  <c r="CR130" i="1"/>
  <c r="CS130" i="1" a="1"/>
  <c r="CS130" i="1" s="1"/>
  <c r="CT130" i="1" a="1"/>
  <c r="CT130" i="1" s="1"/>
  <c r="CU130" i="1" a="1"/>
  <c r="CU130" i="1" s="1"/>
  <c r="CV130" i="1" a="1"/>
  <c r="CV130" i="1" s="1"/>
  <c r="CW130" i="1" a="1"/>
  <c r="CW130" i="1" s="1"/>
  <c r="CX130" i="1" a="1"/>
  <c r="CX130" i="1" s="1"/>
  <c r="CY130" i="1" a="1"/>
  <c r="CY130" i="1" s="1"/>
  <c r="CZ130" i="1" a="1"/>
  <c r="CZ130" i="1"/>
  <c r="DA130" i="1" a="1"/>
  <c r="DA130" i="1" s="1"/>
  <c r="DB130" i="1" a="1"/>
  <c r="DB130" i="1" s="1"/>
  <c r="DC130" i="1" a="1"/>
  <c r="DC130" i="1"/>
  <c r="DD130" i="1" a="1"/>
  <c r="DD130" i="1"/>
  <c r="DE130" i="1" a="1"/>
  <c r="DE130" i="1" s="1"/>
  <c r="CI131" i="1" a="1"/>
  <c r="CI131" i="1" s="1"/>
  <c r="CJ131" i="1" a="1"/>
  <c r="CJ131" i="1" s="1"/>
  <c r="CK131" i="1" a="1"/>
  <c r="CK131" i="1" s="1"/>
  <c r="CL131" i="1" a="1"/>
  <c r="CL131" i="1" s="1"/>
  <c r="CM131" i="1" a="1"/>
  <c r="CM131" i="1"/>
  <c r="CN131" i="1" a="1"/>
  <c r="CN131" i="1" s="1"/>
  <c r="CO131" i="1" a="1"/>
  <c r="CO131" i="1"/>
  <c r="CP131" i="1" a="1"/>
  <c r="CP131" i="1" s="1"/>
  <c r="CQ131" i="1" a="1"/>
  <c r="CQ131" i="1" s="1"/>
  <c r="CR131" i="1" a="1"/>
  <c r="CR131" i="1" s="1"/>
  <c r="CS131" i="1" a="1"/>
  <c r="CS131" i="1"/>
  <c r="CT131" i="1" a="1"/>
  <c r="CT131" i="1" s="1"/>
  <c r="CU131" i="1" a="1"/>
  <c r="CU131" i="1"/>
  <c r="CV131" i="1" a="1"/>
  <c r="CV131" i="1" s="1"/>
  <c r="CW131" i="1" a="1"/>
  <c r="CW131" i="1" s="1"/>
  <c r="CX131" i="1" a="1"/>
  <c r="CX131" i="1"/>
  <c r="CY131" i="1" a="1"/>
  <c r="CY131" i="1" s="1"/>
  <c r="CZ131" i="1" a="1"/>
  <c r="CZ131" i="1" s="1"/>
  <c r="DA131" i="1" a="1"/>
  <c r="DA131" i="1" s="1"/>
  <c r="DB131" i="1" a="1"/>
  <c r="DB131" i="1"/>
  <c r="DC131" i="1" a="1"/>
  <c r="DC131" i="1" s="1"/>
  <c r="DD131" i="1" a="1"/>
  <c r="DD131" i="1" s="1"/>
  <c r="DE131" i="1" a="1"/>
  <c r="DE131" i="1"/>
  <c r="CI132" i="1" a="1"/>
  <c r="CI132" i="1" s="1"/>
  <c r="CJ132" i="1" a="1"/>
  <c r="CJ132" i="1" s="1"/>
  <c r="CK132" i="1" a="1"/>
  <c r="CK132" i="1" s="1"/>
  <c r="CL132" i="1" a="1"/>
  <c r="CL132" i="1" s="1"/>
  <c r="CM132" i="1" a="1"/>
  <c r="CM132" i="1" s="1"/>
  <c r="CN132" i="1" a="1"/>
  <c r="CN132" i="1" s="1"/>
  <c r="CO132" i="1" a="1"/>
  <c r="CO132" i="1" s="1"/>
  <c r="CP132" i="1" a="1"/>
  <c r="CP132" i="1"/>
  <c r="CQ132" i="1" a="1"/>
  <c r="CQ132" i="1" s="1"/>
  <c r="CR132" i="1" a="1"/>
  <c r="CR132" i="1" s="1"/>
  <c r="CS132" i="1" a="1"/>
  <c r="CS132" i="1"/>
  <c r="CT132" i="1" a="1"/>
  <c r="CT132" i="1"/>
  <c r="CU132" i="1" a="1"/>
  <c r="CU132" i="1" s="1"/>
  <c r="CV132" i="1" a="1"/>
  <c r="CV132" i="1" s="1"/>
  <c r="CW132" i="1" a="1"/>
  <c r="CW132" i="1"/>
  <c r="CX132" i="1" a="1"/>
  <c r="CX132" i="1" s="1"/>
  <c r="CY132" i="1" a="1"/>
  <c r="CY132" i="1" s="1"/>
  <c r="CZ132" i="1" a="1"/>
  <c r="CZ132" i="1"/>
  <c r="DA132" i="1" a="1"/>
  <c r="DA132" i="1" s="1"/>
  <c r="DB132" i="1" a="1"/>
  <c r="DB132" i="1"/>
  <c r="DC132" i="1" a="1"/>
  <c r="DC132" i="1" s="1"/>
  <c r="DD132" i="1" a="1"/>
  <c r="DD132" i="1" s="1"/>
  <c r="DE132" i="1" a="1"/>
  <c r="DE132" i="1"/>
  <c r="CI133" i="1" a="1"/>
  <c r="CI133" i="1"/>
  <c r="CJ133" i="1" a="1"/>
  <c r="CJ133" i="1" s="1"/>
  <c r="CK133" i="1" a="1"/>
  <c r="CK133" i="1" s="1"/>
  <c r="CL133" i="1" a="1"/>
  <c r="CL133" i="1"/>
  <c r="CM133" i="1" a="1"/>
  <c r="CM133" i="1" s="1"/>
  <c r="CN133" i="1" a="1"/>
  <c r="CN133" i="1" s="1"/>
  <c r="CO133" i="1" a="1"/>
  <c r="CO133" i="1"/>
  <c r="CP133" i="1" a="1"/>
  <c r="CP133" i="1" s="1"/>
  <c r="CQ133" i="1" a="1"/>
  <c r="CQ133" i="1"/>
  <c r="CR133" i="1" a="1"/>
  <c r="CR133" i="1" s="1"/>
  <c r="CS133" i="1" a="1"/>
  <c r="CS133" i="1" s="1"/>
  <c r="CT133" i="1" a="1"/>
  <c r="CT133" i="1"/>
  <c r="CU133" i="1" a="1"/>
  <c r="CU133" i="1" s="1"/>
  <c r="CV133" i="1" a="1"/>
  <c r="CV133" i="1" s="1"/>
  <c r="CW133" i="1" a="1"/>
  <c r="CW133" i="1" s="1"/>
  <c r="CX133" i="1" a="1"/>
  <c r="CX133" i="1"/>
  <c r="CY133" i="1" a="1"/>
  <c r="CY133" i="1" s="1"/>
  <c r="CZ133" i="1" a="1"/>
  <c r="CZ133" i="1"/>
  <c r="DA133" i="1" a="1"/>
  <c r="DA133" i="1"/>
  <c r="DB133" i="1" a="1"/>
  <c r="DB133" i="1" s="1"/>
  <c r="DC133" i="1" a="1"/>
  <c r="DC133" i="1" s="1"/>
  <c r="DD133" i="1" a="1"/>
  <c r="DD133" i="1"/>
  <c r="DE133" i="1" a="1"/>
  <c r="DE133" i="1" s="1"/>
  <c r="CI134" i="1" a="1"/>
  <c r="CI134" i="1" s="1"/>
  <c r="CJ134" i="1" a="1"/>
  <c r="CJ134" i="1"/>
  <c r="CK134" i="1" a="1"/>
  <c r="CK134" i="1" s="1"/>
  <c r="CL134" i="1" a="1"/>
  <c r="CL134" i="1" s="1"/>
  <c r="CM134" i="1" a="1"/>
  <c r="CM134" i="1" s="1"/>
  <c r="CN134" i="1" a="1"/>
  <c r="CN134" i="1" s="1"/>
  <c r="CO134" i="1" a="1"/>
  <c r="CO134" i="1"/>
  <c r="CP134" i="1" a="1"/>
  <c r="CP134" i="1" s="1"/>
  <c r="CQ134" i="1" a="1"/>
  <c r="CQ134" i="1" s="1"/>
  <c r="CR134" i="1" a="1"/>
  <c r="CR134" i="1"/>
  <c r="CS134" i="1" a="1"/>
  <c r="CS134" i="1"/>
  <c r="CT134" i="1" a="1"/>
  <c r="CT134" i="1" s="1"/>
  <c r="CU134" i="1" a="1"/>
  <c r="CU134" i="1"/>
  <c r="CV134" i="1" a="1"/>
  <c r="CV134" i="1"/>
  <c r="CW134" i="1" a="1"/>
  <c r="CW134" i="1" s="1"/>
  <c r="CX134" i="1" a="1"/>
  <c r="CX134" i="1" s="1"/>
  <c r="CY134" i="1" a="1"/>
  <c r="CY134" i="1"/>
  <c r="CZ134" i="1" a="1"/>
  <c r="CZ134" i="1" s="1"/>
  <c r="DA134" i="1" a="1"/>
  <c r="DA134" i="1" s="1"/>
  <c r="DB134" i="1" a="1"/>
  <c r="DB134" i="1"/>
  <c r="DC134" i="1" a="1"/>
  <c r="DC134" i="1" s="1"/>
  <c r="DD134" i="1" a="1"/>
  <c r="DD134" i="1"/>
  <c r="DE134" i="1" a="1"/>
  <c r="DE134" i="1" s="1"/>
  <c r="CI135" i="1" a="1"/>
  <c r="CI135" i="1" s="1"/>
  <c r="CJ135" i="1" a="1"/>
  <c r="CJ135" i="1" s="1"/>
  <c r="CK135" i="1" a="1"/>
  <c r="CK135" i="1" s="1"/>
  <c r="CL135" i="1" a="1"/>
  <c r="CL135" i="1" s="1"/>
  <c r="CM135" i="1" a="1"/>
  <c r="CM135" i="1"/>
  <c r="CN135" i="1" a="1"/>
  <c r="CN135" i="1" s="1"/>
  <c r="CO135" i="1" a="1"/>
  <c r="CO135" i="1" s="1"/>
  <c r="CP135" i="1" a="1"/>
  <c r="CP135" i="1"/>
  <c r="CQ135" i="1" a="1"/>
  <c r="CQ135" i="1"/>
  <c r="CR135" i="1" a="1"/>
  <c r="CR135" i="1" s="1"/>
  <c r="CS135" i="1" a="1"/>
  <c r="CS135" i="1" s="1"/>
  <c r="CT135" i="1" a="1"/>
  <c r="CT135" i="1"/>
  <c r="CU135" i="1" a="1"/>
  <c r="CU135" i="1" s="1"/>
  <c r="CV135" i="1" a="1"/>
  <c r="CV135" i="1" s="1"/>
  <c r="CW135" i="1" a="1"/>
  <c r="CW135" i="1"/>
  <c r="CX135" i="1" a="1"/>
  <c r="CX135" i="1" s="1"/>
  <c r="CY135" i="1" a="1"/>
  <c r="CY135" i="1"/>
  <c r="CZ135" i="1" a="1"/>
  <c r="CZ135" i="1" s="1"/>
  <c r="DA135" i="1" a="1"/>
  <c r="DA135" i="1" s="1"/>
  <c r="DB135" i="1" a="1"/>
  <c r="DB135" i="1"/>
  <c r="DC135" i="1" a="1"/>
  <c r="DC135" i="1" s="1"/>
  <c r="DD135" i="1" a="1"/>
  <c r="DD135" i="1" s="1"/>
  <c r="DE135" i="1" a="1"/>
  <c r="DE135" i="1" s="1"/>
  <c r="CI136" i="1" a="1"/>
  <c r="CI136" i="1"/>
  <c r="CJ136" i="1" a="1"/>
  <c r="CJ136" i="1" s="1"/>
  <c r="CK136" i="1" a="1"/>
  <c r="CK136" i="1"/>
  <c r="CL136" i="1" a="1"/>
  <c r="CL136" i="1"/>
  <c r="CM136" i="1" a="1"/>
  <c r="CM136" i="1" s="1"/>
  <c r="CN136" i="1" a="1"/>
  <c r="CN136" i="1" s="1"/>
  <c r="CO136" i="1" a="1"/>
  <c r="CO136" i="1"/>
  <c r="CP136" i="1" a="1"/>
  <c r="CP136" i="1" s="1"/>
  <c r="CQ136" i="1" a="1"/>
  <c r="CQ136" i="1" s="1"/>
  <c r="CR136" i="1" a="1"/>
  <c r="CR136" i="1"/>
  <c r="CS136" i="1" a="1"/>
  <c r="CS136" i="1" s="1"/>
  <c r="CT136" i="1" a="1"/>
  <c r="CT136" i="1" s="1"/>
  <c r="CU136" i="1" a="1"/>
  <c r="CU136" i="1" s="1"/>
  <c r="CV136" i="1" a="1"/>
  <c r="CV136" i="1" s="1"/>
  <c r="CW136" i="1" a="1"/>
  <c r="CW136" i="1"/>
  <c r="CX136" i="1" a="1"/>
  <c r="CX136" i="1" s="1"/>
  <c r="CY136" i="1" a="1"/>
  <c r="CY136" i="1" s="1"/>
  <c r="CZ136" i="1" a="1"/>
  <c r="CZ136" i="1"/>
  <c r="DA136" i="1" a="1"/>
  <c r="DA136" i="1"/>
  <c r="DB136" i="1" a="1"/>
  <c r="DB136" i="1" s="1"/>
  <c r="DC136" i="1" a="1"/>
  <c r="DC136" i="1"/>
  <c r="DD136" i="1" a="1"/>
  <c r="DD136" i="1"/>
  <c r="DE136" i="1" a="1"/>
  <c r="DE136" i="1" s="1"/>
  <c r="CI137" i="1" a="1"/>
  <c r="CI137" i="1" s="1"/>
  <c r="CJ137" i="1" a="1"/>
  <c r="CJ137" i="1"/>
  <c r="CK137" i="1" a="1"/>
  <c r="CK137" i="1" s="1"/>
  <c r="CL137" i="1" a="1"/>
  <c r="CL137" i="1" s="1"/>
  <c r="CM137" i="1" a="1"/>
  <c r="CM137" i="1"/>
  <c r="CN137" i="1" a="1"/>
  <c r="CN137" i="1" s="1"/>
  <c r="CO137" i="1" a="1"/>
  <c r="CO137" i="1"/>
  <c r="CP137" i="1" a="1"/>
  <c r="CP137" i="1" s="1"/>
  <c r="CQ137" i="1" a="1"/>
  <c r="CQ137" i="1" s="1"/>
  <c r="CR137" i="1" a="1"/>
  <c r="CR137" i="1" s="1"/>
  <c r="CS137" i="1" a="1"/>
  <c r="CS137" i="1" s="1"/>
  <c r="CT137" i="1" a="1"/>
  <c r="CT137" i="1" s="1"/>
  <c r="CU137" i="1" a="1"/>
  <c r="CU137" i="1"/>
  <c r="CV137" i="1" a="1"/>
  <c r="CV137" i="1" s="1"/>
  <c r="CW137" i="1" a="1"/>
  <c r="CW137" i="1" s="1"/>
  <c r="CX137" i="1" a="1"/>
  <c r="CX137" i="1"/>
  <c r="CY137" i="1" a="1"/>
  <c r="CY137" i="1"/>
  <c r="CZ137" i="1" a="1"/>
  <c r="CZ137" i="1" s="1"/>
  <c r="DA137" i="1" a="1"/>
  <c r="DA137" i="1" s="1"/>
  <c r="DB137" i="1" a="1"/>
  <c r="DB137" i="1"/>
  <c r="DC137" i="1" a="1"/>
  <c r="DC137" i="1" s="1"/>
  <c r="DD137" i="1" a="1"/>
  <c r="DD137" i="1" s="1"/>
  <c r="DE137" i="1" a="1"/>
  <c r="DE137" i="1"/>
  <c r="CI138" i="1" a="1"/>
  <c r="CI138" i="1" s="1"/>
  <c r="CJ138" i="1" a="1"/>
  <c r="CJ138" i="1"/>
  <c r="CK138" i="1" a="1"/>
  <c r="CK138" i="1" s="1"/>
  <c r="CL138" i="1" a="1"/>
  <c r="CL138" i="1" s="1"/>
  <c r="CM138" i="1" a="1"/>
  <c r="CM138" i="1"/>
  <c r="CN138" i="1" a="1"/>
  <c r="CN138" i="1" s="1"/>
  <c r="CO138" i="1" a="1"/>
  <c r="CO138" i="1" s="1"/>
  <c r="CP138" i="1" a="1"/>
  <c r="CP138" i="1" s="1"/>
  <c r="CQ138" i="1" a="1"/>
  <c r="CQ138" i="1"/>
  <c r="CR138" i="1" a="1"/>
  <c r="CR138" i="1" s="1"/>
  <c r="CS138" i="1" a="1"/>
  <c r="CS138" i="1"/>
  <c r="CT138" i="1" a="1"/>
  <c r="CT138" i="1"/>
  <c r="CU138" i="1" a="1"/>
  <c r="CU138" i="1" s="1"/>
  <c r="CV138" i="1" a="1"/>
  <c r="CV138" i="1" s="1"/>
  <c r="CW138" i="1" a="1"/>
  <c r="CW138" i="1"/>
  <c r="CX138" i="1" a="1"/>
  <c r="CX138" i="1" s="1"/>
  <c r="CY138" i="1" a="1"/>
  <c r="CY138" i="1" s="1"/>
  <c r="CZ138" i="1" a="1"/>
  <c r="CZ138" i="1"/>
  <c r="DA138" i="1" a="1"/>
  <c r="DA138" i="1" s="1"/>
  <c r="DB138" i="1" a="1"/>
  <c r="DB138" i="1" s="1"/>
  <c r="DC138" i="1" a="1"/>
  <c r="DC138" i="1" s="1"/>
  <c r="DD138" i="1" a="1"/>
  <c r="DD138" i="1" s="1"/>
  <c r="DE138" i="1" a="1"/>
  <c r="DE138" i="1"/>
  <c r="CI139" i="1" a="1"/>
  <c r="CI139" i="1" s="1"/>
  <c r="CJ139" i="1" a="1"/>
  <c r="CJ139" i="1" s="1"/>
  <c r="CK139" i="1" a="1"/>
  <c r="CK139" i="1"/>
  <c r="CL139" i="1" a="1"/>
  <c r="CL139" i="1"/>
  <c r="CM139" i="1" a="1"/>
  <c r="CM139" i="1" s="1"/>
  <c r="CN139" i="1" a="1"/>
  <c r="CN139" i="1"/>
  <c r="CO139" i="1" a="1"/>
  <c r="CO139" i="1"/>
  <c r="CP139" i="1" a="1"/>
  <c r="CP139" i="1" s="1"/>
  <c r="CQ139" i="1" a="1"/>
  <c r="CQ139" i="1" s="1"/>
  <c r="CR139" i="1" a="1"/>
  <c r="CR139" i="1"/>
  <c r="CS139" i="1" a="1"/>
  <c r="CS139" i="1" s="1"/>
  <c r="CT139" i="1" a="1"/>
  <c r="CT139" i="1" s="1"/>
  <c r="CU139" i="1" a="1"/>
  <c r="CU139" i="1"/>
  <c r="CV139" i="1" a="1"/>
  <c r="CV139" i="1" s="1"/>
  <c r="CW139" i="1" a="1"/>
  <c r="CW139" i="1"/>
  <c r="CX139" i="1" a="1"/>
  <c r="CX139" i="1" s="1"/>
  <c r="CY139" i="1" a="1"/>
  <c r="CY139" i="1" s="1"/>
  <c r="CZ139" i="1" a="1"/>
  <c r="CZ139" i="1" s="1"/>
  <c r="DA139" i="1" a="1"/>
  <c r="DA139" i="1" s="1"/>
  <c r="DB139" i="1" a="1"/>
  <c r="DB139" i="1" s="1"/>
  <c r="DC139" i="1" a="1"/>
  <c r="DC139" i="1"/>
  <c r="DD139" i="1" a="1"/>
  <c r="DD139" i="1" s="1"/>
  <c r="DE139" i="1" a="1"/>
  <c r="DE139" i="1" s="1"/>
  <c r="CI140" i="1" a="1"/>
  <c r="CI140" i="1"/>
  <c r="CJ140" i="1" a="1"/>
  <c r="CJ140" i="1"/>
  <c r="CK140" i="1" a="1"/>
  <c r="CK140" i="1" s="1"/>
  <c r="CL140" i="1" a="1"/>
  <c r="CL140" i="1" s="1"/>
  <c r="CM140" i="1" a="1"/>
  <c r="CM140" i="1"/>
  <c r="CN140" i="1" a="1"/>
  <c r="CN140" i="1" s="1"/>
  <c r="CO140" i="1" a="1"/>
  <c r="CO140" i="1" s="1"/>
  <c r="CP140" i="1" a="1"/>
  <c r="CP140" i="1"/>
  <c r="CQ140" i="1" a="1"/>
  <c r="CQ140" i="1" s="1"/>
  <c r="CR140" i="1" a="1"/>
  <c r="CR140" i="1"/>
  <c r="CS140" i="1" a="1"/>
  <c r="CS140" i="1" s="1"/>
  <c r="CT140" i="1" a="1"/>
  <c r="CT140" i="1" s="1"/>
  <c r="CU140" i="1" a="1"/>
  <c r="CU140" i="1"/>
  <c r="CV140" i="1" a="1"/>
  <c r="CV140" i="1" s="1"/>
  <c r="CW140" i="1" a="1"/>
  <c r="CW140" i="1" s="1"/>
  <c r="CX140" i="1" a="1"/>
  <c r="CX140" i="1" s="1"/>
  <c r="CY140" i="1" a="1"/>
  <c r="CY140" i="1"/>
  <c r="CZ140" i="1" a="1"/>
  <c r="CZ140" i="1" s="1"/>
  <c r="DA140" i="1" a="1"/>
  <c r="DA140" i="1"/>
  <c r="DB140" i="1" a="1"/>
  <c r="DB140" i="1"/>
  <c r="DC140" i="1" a="1"/>
  <c r="DC140" i="1" s="1"/>
  <c r="DD140" i="1" a="1"/>
  <c r="DD140" i="1" s="1"/>
  <c r="DE140" i="1" a="1"/>
  <c r="DE140" i="1"/>
  <c r="CI141" i="1" a="1"/>
  <c r="CI141" i="1" s="1"/>
  <c r="CJ141" i="1" a="1"/>
  <c r="CJ141" i="1" s="1"/>
  <c r="CK141" i="1" a="1"/>
  <c r="CK141" i="1"/>
  <c r="CL141" i="1" a="1"/>
  <c r="CL141" i="1" s="1"/>
  <c r="CM141" i="1" a="1"/>
  <c r="CM141" i="1" s="1"/>
  <c r="CN141" i="1" a="1"/>
  <c r="CN141" i="1" s="1"/>
  <c r="CO141" i="1" a="1"/>
  <c r="CO141" i="1" s="1"/>
  <c r="CP141" i="1" a="1"/>
  <c r="CP141" i="1"/>
  <c r="CQ141" i="1" a="1"/>
  <c r="CQ141" i="1" s="1"/>
  <c r="CR141" i="1" a="1"/>
  <c r="CR141" i="1" s="1"/>
  <c r="CS141" i="1" a="1"/>
  <c r="CS141" i="1"/>
  <c r="CT141" i="1" a="1"/>
  <c r="CT141" i="1"/>
  <c r="CU141" i="1" a="1"/>
  <c r="CU141" i="1" s="1"/>
  <c r="CV141" i="1" a="1"/>
  <c r="CV141" i="1"/>
  <c r="CW141" i="1" a="1"/>
  <c r="CW141" i="1"/>
  <c r="CX141" i="1" a="1"/>
  <c r="CX141" i="1" s="1"/>
  <c r="CY141" i="1" a="1"/>
  <c r="CY141" i="1" s="1"/>
  <c r="CZ141" i="1" a="1"/>
  <c r="CZ141" i="1"/>
  <c r="DA141" i="1" a="1"/>
  <c r="DA141" i="1" s="1"/>
  <c r="DB141" i="1" a="1"/>
  <c r="DB141" i="1" s="1"/>
  <c r="DC141" i="1" a="1"/>
  <c r="DC141" i="1"/>
  <c r="DD141" i="1" a="1"/>
  <c r="DD141" i="1" s="1"/>
  <c r="DE141" i="1" a="1"/>
  <c r="DE141" i="1"/>
  <c r="CI142" i="1" a="1"/>
  <c r="CI142" i="1" s="1"/>
  <c r="CJ142" i="1" a="1"/>
  <c r="CJ142" i="1" s="1"/>
  <c r="CK142" i="1" a="1"/>
  <c r="CK142" i="1" s="1"/>
  <c r="CL142" i="1" a="1"/>
  <c r="CL142" i="1" s="1"/>
  <c r="CM142" i="1" a="1"/>
  <c r="CM142" i="1" s="1"/>
  <c r="CN142" i="1" a="1"/>
  <c r="CN142" i="1"/>
  <c r="CO142" i="1" a="1"/>
  <c r="CO142" i="1" s="1"/>
  <c r="CP142" i="1" a="1"/>
  <c r="CP142" i="1" s="1"/>
  <c r="CQ142" i="1" a="1"/>
  <c r="CQ142" i="1"/>
  <c r="CR142" i="1" a="1"/>
  <c r="CR142" i="1"/>
  <c r="CS142" i="1" a="1"/>
  <c r="CS142" i="1" s="1"/>
  <c r="CT142" i="1" a="1"/>
  <c r="CT142" i="1" s="1"/>
  <c r="CU142" i="1" a="1"/>
  <c r="CU142" i="1"/>
  <c r="CV142" i="1" a="1"/>
  <c r="CV142" i="1" s="1"/>
  <c r="CW142" i="1" a="1"/>
  <c r="CW142" i="1" s="1"/>
  <c r="CX142" i="1" a="1"/>
  <c r="CX142" i="1"/>
  <c r="CY142" i="1" a="1"/>
  <c r="CY142" i="1" s="1"/>
  <c r="CZ142" i="1" a="1"/>
  <c r="CZ142" i="1"/>
  <c r="DA142" i="1" a="1"/>
  <c r="DA142" i="1" s="1"/>
  <c r="DB142" i="1" a="1"/>
  <c r="DB142" i="1" s="1"/>
  <c r="DC142" i="1" a="1"/>
  <c r="DC142" i="1"/>
  <c r="DD142" i="1" a="1"/>
  <c r="DD142" i="1" s="1"/>
  <c r="DE142" i="1" a="1"/>
  <c r="DE142" i="1" s="1"/>
  <c r="CI143" i="1" a="1"/>
  <c r="CI143" i="1" s="1"/>
  <c r="CJ143" i="1" a="1"/>
  <c r="CJ143" i="1"/>
  <c r="CK143" i="1" a="1"/>
  <c r="CK143" i="1" s="1"/>
  <c r="CL143" i="1" a="1"/>
  <c r="CL143" i="1"/>
  <c r="CM143" i="1" a="1"/>
  <c r="CM143" i="1"/>
  <c r="CN143" i="1" a="1"/>
  <c r="CN143" i="1" s="1"/>
  <c r="CO143" i="1" a="1"/>
  <c r="CO143" i="1" s="1"/>
  <c r="CP143" i="1" a="1"/>
  <c r="CP143" i="1"/>
  <c r="CQ143" i="1" a="1"/>
  <c r="CQ143" i="1" s="1"/>
  <c r="CR143" i="1" a="1"/>
  <c r="CR143" i="1" s="1"/>
  <c r="CS143" i="1" a="1"/>
  <c r="CS143" i="1"/>
  <c r="CT143" i="1" a="1"/>
  <c r="CT143" i="1" s="1"/>
  <c r="CU143" i="1" a="1"/>
  <c r="CU143" i="1" s="1"/>
  <c r="CV143" i="1" a="1"/>
  <c r="CV143" i="1" s="1"/>
  <c r="CW143" i="1" a="1"/>
  <c r="CW143" i="1" s="1"/>
  <c r="CX143" i="1" a="1"/>
  <c r="CX143" i="1"/>
  <c r="CY143" i="1" a="1"/>
  <c r="CY143" i="1" s="1"/>
  <c r="CZ143" i="1" a="1"/>
  <c r="CZ143" i="1" s="1"/>
  <c r="DA143" i="1" a="1"/>
  <c r="DA143" i="1"/>
  <c r="DB143" i="1" a="1"/>
  <c r="DB143" i="1"/>
  <c r="DC143" i="1" a="1"/>
  <c r="DC143" i="1" s="1"/>
  <c r="DD143" i="1" a="1"/>
  <c r="DD143" i="1"/>
  <c r="DE143" i="1" a="1"/>
  <c r="DE143" i="1"/>
  <c r="CI144" i="1" a="1"/>
  <c r="CI144" i="1" s="1"/>
  <c r="CJ144" i="1" a="1"/>
  <c r="CJ144" i="1" s="1"/>
  <c r="CK144" i="1" a="1"/>
  <c r="CK144" i="1"/>
  <c r="CL144" i="1" a="1"/>
  <c r="CL144" i="1" s="1"/>
  <c r="CM144" i="1" a="1"/>
  <c r="CM144" i="1" s="1"/>
  <c r="CN144" i="1" a="1"/>
  <c r="CN144" i="1"/>
  <c r="CO144" i="1" a="1"/>
  <c r="CO144" i="1" s="1"/>
  <c r="CP144" i="1" a="1"/>
  <c r="CP144" i="1"/>
  <c r="CQ144" i="1" a="1"/>
  <c r="CQ144" i="1" s="1"/>
  <c r="CR144" i="1" a="1"/>
  <c r="CR144" i="1" s="1"/>
  <c r="CS144" i="1" a="1"/>
  <c r="CS144" i="1" s="1"/>
  <c r="CT144" i="1" a="1"/>
  <c r="CT144" i="1" s="1"/>
  <c r="CU144" i="1" a="1"/>
  <c r="CU144" i="1" s="1"/>
  <c r="CV144" i="1" a="1"/>
  <c r="CV144" i="1"/>
  <c r="CW144" i="1" a="1"/>
  <c r="CW144" i="1" s="1"/>
  <c r="CX144" i="1" a="1"/>
  <c r="CX144" i="1" s="1"/>
  <c r="CY144" i="1" a="1"/>
  <c r="CY144" i="1"/>
  <c r="CZ144" i="1" a="1"/>
  <c r="CZ144" i="1"/>
  <c r="DA144" i="1" a="1"/>
  <c r="DA144" i="1" s="1"/>
  <c r="DB144" i="1" a="1"/>
  <c r="DB144" i="1" s="1"/>
  <c r="DC144" i="1" a="1"/>
  <c r="DC144" i="1"/>
  <c r="DD144" i="1" a="1"/>
  <c r="DD144" i="1" s="1"/>
  <c r="DE144" i="1" a="1"/>
  <c r="DE144" i="1" s="1"/>
  <c r="CI145" i="1" a="1"/>
  <c r="CI145" i="1"/>
  <c r="CJ145" i="1" a="1"/>
  <c r="CJ145" i="1" s="1"/>
  <c r="CK145" i="1" a="1"/>
  <c r="CK145" i="1"/>
  <c r="CL145" i="1" a="1"/>
  <c r="CL145" i="1" s="1"/>
  <c r="CM145" i="1" a="1"/>
  <c r="CM145" i="1" s="1"/>
  <c r="CN145" i="1" a="1"/>
  <c r="CN145" i="1"/>
  <c r="CO145" i="1" a="1"/>
  <c r="CO145" i="1" s="1"/>
  <c r="CP145" i="1" a="1"/>
  <c r="CP145" i="1" s="1"/>
  <c r="CQ145" i="1" a="1"/>
  <c r="CQ145" i="1" s="1"/>
  <c r="CR145" i="1" a="1"/>
  <c r="CR145" i="1"/>
  <c r="CS145" i="1" a="1"/>
  <c r="CS145" i="1" s="1"/>
  <c r="CT145" i="1" a="1"/>
  <c r="CT145" i="1"/>
  <c r="CU145" i="1" a="1"/>
  <c r="CU145" i="1"/>
  <c r="CV145" i="1" a="1"/>
  <c r="CV145" i="1" s="1"/>
  <c r="CW145" i="1" a="1"/>
  <c r="CW145" i="1" s="1"/>
  <c r="CX145" i="1" a="1"/>
  <c r="CX145" i="1"/>
  <c r="CY145" i="1" a="1"/>
  <c r="CY145" i="1" s="1"/>
  <c r="CZ145" i="1" a="1"/>
  <c r="CZ145" i="1" s="1"/>
  <c r="DA145" i="1" a="1"/>
  <c r="DA145" i="1"/>
  <c r="DB145" i="1" a="1"/>
  <c r="DB145" i="1" s="1"/>
  <c r="DC145" i="1" a="1"/>
  <c r="DC145" i="1" s="1"/>
  <c r="DD145" i="1" a="1"/>
  <c r="DD145" i="1" s="1"/>
  <c r="DE145" i="1" a="1"/>
  <c r="DE145" i="1" s="1"/>
  <c r="CI146" i="1" a="1"/>
  <c r="CI146" i="1"/>
  <c r="CJ146" i="1" a="1"/>
  <c r="CJ146" i="1" s="1"/>
  <c r="CK146" i="1" a="1"/>
  <c r="CK146" i="1" s="1"/>
  <c r="CL146" i="1" a="1"/>
  <c r="CL146" i="1"/>
  <c r="CM146" i="1" a="1"/>
  <c r="CM146" i="1"/>
  <c r="CN146" i="1" a="1"/>
  <c r="CN146" i="1" s="1"/>
  <c r="CO146" i="1" a="1"/>
  <c r="CO146" i="1"/>
  <c r="CP146" i="1" a="1"/>
  <c r="CP146" i="1"/>
  <c r="CQ146" i="1" a="1"/>
  <c r="CQ146" i="1" s="1"/>
  <c r="CR146" i="1" a="1"/>
  <c r="CR146" i="1" s="1"/>
  <c r="CS146" i="1" a="1"/>
  <c r="CS146" i="1"/>
  <c r="CT146" i="1" a="1"/>
  <c r="CT146" i="1" s="1"/>
  <c r="CU146" i="1" a="1"/>
  <c r="CU146" i="1" s="1"/>
  <c r="CV146" i="1" a="1"/>
  <c r="CV146" i="1"/>
  <c r="CW146" i="1" a="1"/>
  <c r="CW146" i="1" s="1"/>
  <c r="CX146" i="1" a="1"/>
  <c r="CX146" i="1"/>
  <c r="CY146" i="1" a="1"/>
  <c r="CY146" i="1" s="1"/>
  <c r="CZ146" i="1" a="1"/>
  <c r="CZ146" i="1" s="1"/>
  <c r="DA146" i="1" a="1"/>
  <c r="DA146" i="1" s="1"/>
  <c r="DB146" i="1" a="1"/>
  <c r="DB146" i="1" s="1"/>
  <c r="DC146" i="1" a="1"/>
  <c r="DC146" i="1" s="1"/>
  <c r="DD146" i="1" a="1"/>
  <c r="DD146" i="1"/>
  <c r="DE146" i="1" a="1"/>
  <c r="DE146" i="1" s="1"/>
  <c r="CI147" i="1" a="1"/>
  <c r="CI147" i="1" s="1"/>
  <c r="CJ147" i="1" a="1"/>
  <c r="CJ147" i="1"/>
  <c r="CK147" i="1" a="1"/>
  <c r="CK147" i="1"/>
  <c r="CL147" i="1" a="1"/>
  <c r="CL147" i="1" s="1"/>
  <c r="CM147" i="1" a="1"/>
  <c r="CM147" i="1" s="1"/>
  <c r="CN147" i="1" a="1"/>
  <c r="CN147" i="1"/>
  <c r="CO147" i="1" a="1"/>
  <c r="CO147" i="1" s="1"/>
  <c r="CP147" i="1" a="1"/>
  <c r="CP147" i="1" s="1"/>
  <c r="CQ147" i="1" a="1"/>
  <c r="CQ147" i="1"/>
  <c r="CR147" i="1" a="1"/>
  <c r="CR147" i="1" s="1"/>
  <c r="CS147" i="1" a="1"/>
  <c r="CS147" i="1"/>
  <c r="CT147" i="1" a="1"/>
  <c r="CT147" i="1" s="1"/>
  <c r="CU147" i="1" a="1"/>
  <c r="CU147" i="1" s="1"/>
  <c r="CV147" i="1" a="1"/>
  <c r="CV147" i="1"/>
  <c r="CW147" i="1" a="1"/>
  <c r="CW147" i="1" s="1"/>
  <c r="CX147" i="1" a="1"/>
  <c r="CX147" i="1" s="1"/>
  <c r="CY147" i="1" a="1"/>
  <c r="CY147" i="1" s="1"/>
  <c r="CZ147" i="1" a="1"/>
  <c r="CZ147" i="1"/>
  <c r="DA147" i="1" a="1"/>
  <c r="DA147" i="1" s="1"/>
  <c r="DB147" i="1" a="1"/>
  <c r="DB147" i="1"/>
  <c r="DC147" i="1" a="1"/>
  <c r="DC147" i="1"/>
  <c r="DD147" i="1" a="1"/>
  <c r="DD147" i="1" s="1"/>
  <c r="DE147" i="1" a="1"/>
  <c r="DE147" i="1" s="1"/>
  <c r="CI148" i="1" a="1"/>
  <c r="CI148" i="1"/>
  <c r="CJ148" i="1" a="1"/>
  <c r="CJ148" i="1" s="1"/>
  <c r="CK148" i="1" a="1"/>
  <c r="CK148" i="1" s="1"/>
  <c r="CL148" i="1" a="1"/>
  <c r="CL148" i="1"/>
  <c r="CM148" i="1" a="1"/>
  <c r="CM148" i="1" s="1"/>
  <c r="CN148" i="1" a="1"/>
  <c r="CN148" i="1" s="1"/>
  <c r="CO148" i="1" a="1"/>
  <c r="CO148" i="1" s="1"/>
  <c r="CP148" i="1" a="1"/>
  <c r="CP148" i="1" s="1"/>
  <c r="CQ148" i="1" a="1"/>
  <c r="CQ148" i="1"/>
  <c r="CR148" i="1" a="1"/>
  <c r="CR148" i="1" s="1"/>
  <c r="CS148" i="1" a="1"/>
  <c r="CS148" i="1" s="1"/>
  <c r="CT148" i="1" a="1"/>
  <c r="CT148" i="1"/>
  <c r="CU148" i="1" a="1"/>
  <c r="CU148" i="1"/>
  <c r="CV148" i="1" a="1"/>
  <c r="CV148" i="1" s="1"/>
  <c r="CW148" i="1" a="1"/>
  <c r="CW148" i="1"/>
  <c r="CX148" i="1" a="1"/>
  <c r="CX148" i="1"/>
  <c r="CY148" i="1" a="1"/>
  <c r="CY148" i="1" s="1"/>
  <c r="CZ148" i="1" a="1"/>
  <c r="CZ148" i="1" s="1"/>
  <c r="DA148" i="1" a="1"/>
  <c r="DA148" i="1"/>
  <c r="DB148" i="1" a="1"/>
  <c r="DB148" i="1" s="1"/>
  <c r="DC148" i="1" a="1"/>
  <c r="DC148" i="1" s="1"/>
  <c r="DD148" i="1" a="1"/>
  <c r="DD148" i="1"/>
  <c r="DE148" i="1" a="1"/>
  <c r="DE148" i="1" s="1"/>
  <c r="CI149" i="1" a="1"/>
  <c r="CI149" i="1"/>
  <c r="CJ149" i="1" a="1"/>
  <c r="CJ149" i="1" s="1"/>
  <c r="CK149" i="1" a="1"/>
  <c r="CK149" i="1" s="1"/>
  <c r="CL149" i="1" a="1"/>
  <c r="CL149" i="1" s="1"/>
  <c r="CM149" i="1" a="1"/>
  <c r="CM149" i="1" s="1"/>
  <c r="CN149" i="1" a="1"/>
  <c r="CN149" i="1" s="1"/>
  <c r="CO149" i="1" a="1"/>
  <c r="CO149" i="1"/>
  <c r="CP149" i="1" a="1"/>
  <c r="CP149" i="1" s="1"/>
  <c r="CQ149" i="1" a="1"/>
  <c r="CQ149" i="1" s="1"/>
  <c r="CR149" i="1" a="1"/>
  <c r="CR149" i="1"/>
  <c r="CS149" i="1" a="1"/>
  <c r="CS149" i="1"/>
  <c r="CT149" i="1" a="1"/>
  <c r="CT149" i="1" s="1"/>
  <c r="CU149" i="1" a="1"/>
  <c r="CU149" i="1" s="1"/>
  <c r="CV149" i="1" a="1"/>
  <c r="CV149" i="1"/>
  <c r="CW149" i="1" a="1"/>
  <c r="CW149" i="1" s="1"/>
  <c r="CX149" i="1" a="1"/>
  <c r="CX149" i="1" s="1"/>
  <c r="CY149" i="1" a="1"/>
  <c r="CY149" i="1"/>
  <c r="CZ149" i="1" a="1"/>
  <c r="CZ149" i="1" s="1"/>
  <c r="DA149" i="1" a="1"/>
  <c r="DA149" i="1"/>
  <c r="DB149" i="1" a="1"/>
  <c r="DB149" i="1" s="1"/>
  <c r="DC149" i="1" a="1"/>
  <c r="DC149" i="1" s="1"/>
  <c r="DD149" i="1" a="1"/>
  <c r="DD149" i="1"/>
  <c r="DE149" i="1" a="1"/>
  <c r="DE149" i="1" s="1"/>
  <c r="CI150" i="1" a="1"/>
  <c r="CI150" i="1" s="1"/>
  <c r="CJ150" i="1" a="1"/>
  <c r="CJ150" i="1" s="1"/>
  <c r="CK150" i="1" a="1"/>
  <c r="CK150" i="1"/>
  <c r="CL150" i="1" a="1"/>
  <c r="CL150" i="1" s="1"/>
  <c r="CM150" i="1" a="1"/>
  <c r="CM150" i="1"/>
  <c r="CN150" i="1" a="1"/>
  <c r="CN150" i="1"/>
  <c r="CO150" i="1" a="1"/>
  <c r="CO150" i="1" s="1"/>
  <c r="CP150" i="1" a="1"/>
  <c r="CP150" i="1" s="1"/>
  <c r="CQ150" i="1" a="1"/>
  <c r="CQ150" i="1"/>
  <c r="CR150" i="1" a="1"/>
  <c r="CR150" i="1" s="1"/>
  <c r="CS150" i="1" a="1"/>
  <c r="CS150" i="1" s="1"/>
  <c r="CT150" i="1" a="1"/>
  <c r="CT150" i="1"/>
  <c r="CU150" i="1" a="1"/>
  <c r="CU150" i="1" s="1"/>
  <c r="CV150" i="1" a="1"/>
  <c r="CV150" i="1" s="1"/>
  <c r="CW150" i="1" a="1"/>
  <c r="CW150" i="1" s="1"/>
  <c r="CX150" i="1" a="1"/>
  <c r="CX150" i="1" s="1"/>
  <c r="CY150" i="1" a="1"/>
  <c r="CY150" i="1"/>
  <c r="CZ150" i="1" a="1"/>
  <c r="CZ150" i="1" s="1"/>
  <c r="DA150" i="1" a="1"/>
  <c r="DA150" i="1" s="1"/>
  <c r="DB150" i="1" a="1"/>
  <c r="DB150" i="1"/>
  <c r="DC150" i="1" a="1"/>
  <c r="DC150" i="1"/>
  <c r="DD150" i="1" a="1"/>
  <c r="DD150" i="1" s="1"/>
  <c r="DE150" i="1" a="1"/>
  <c r="DE150" i="1"/>
  <c r="CI151" i="1" a="1"/>
  <c r="CI151" i="1"/>
  <c r="CJ151" i="1" a="1"/>
  <c r="CJ151" i="1" s="1"/>
  <c r="CK151" i="1" a="1"/>
  <c r="CK151" i="1" s="1"/>
  <c r="CL151" i="1" a="1"/>
  <c r="CL151" i="1"/>
  <c r="CM151" i="1" a="1"/>
  <c r="CM151" i="1" s="1"/>
  <c r="CN151" i="1" a="1"/>
  <c r="CN151" i="1" s="1"/>
  <c r="CO151" i="1" a="1"/>
  <c r="CO151" i="1"/>
  <c r="CP151" i="1" a="1"/>
  <c r="CP151" i="1" s="1"/>
  <c r="CQ151" i="1" a="1"/>
  <c r="CQ151" i="1"/>
  <c r="CR151" i="1" a="1"/>
  <c r="CR151" i="1" s="1"/>
  <c r="CS151" i="1" a="1"/>
  <c r="CS151" i="1" s="1"/>
  <c r="CT151" i="1" a="1"/>
  <c r="CT151" i="1" s="1"/>
  <c r="CU151" i="1" a="1"/>
  <c r="CU151" i="1" s="1"/>
  <c r="CV151" i="1" a="1"/>
  <c r="CV151" i="1" s="1"/>
  <c r="CW151" i="1" a="1"/>
  <c r="CW151" i="1"/>
  <c r="CX151" i="1" a="1"/>
  <c r="CX151" i="1" s="1"/>
  <c r="CY151" i="1" a="1"/>
  <c r="CY151" i="1" s="1"/>
  <c r="CZ151" i="1" a="1"/>
  <c r="CZ151" i="1"/>
  <c r="DA151" i="1" a="1"/>
  <c r="DA151" i="1"/>
  <c r="DB151" i="1" a="1"/>
  <c r="DB151" i="1" s="1"/>
  <c r="DC151" i="1" a="1"/>
  <c r="DC151" i="1" s="1"/>
  <c r="DD151" i="1" a="1"/>
  <c r="DD151" i="1"/>
  <c r="DE151" i="1" a="1"/>
  <c r="DE151" i="1" s="1"/>
  <c r="CI152" i="1" a="1"/>
  <c r="CI152" i="1" s="1"/>
  <c r="CJ152" i="1" a="1"/>
  <c r="CJ152" i="1"/>
  <c r="CK152" i="1" a="1"/>
  <c r="CK152" i="1" s="1"/>
  <c r="CL152" i="1" a="1"/>
  <c r="CL152" i="1"/>
  <c r="CM152" i="1" a="1"/>
  <c r="CM152" i="1" s="1"/>
  <c r="CN152" i="1" a="1"/>
  <c r="CN152" i="1" s="1"/>
  <c r="CO152" i="1" a="1"/>
  <c r="CO152" i="1"/>
  <c r="CP152" i="1" a="1"/>
  <c r="CP152" i="1" s="1"/>
  <c r="CQ152" i="1" a="1"/>
  <c r="CQ152" i="1" s="1"/>
  <c r="CR152" i="1" a="1"/>
  <c r="CR152" i="1" s="1"/>
  <c r="CS152" i="1" a="1"/>
  <c r="CS152" i="1"/>
  <c r="CT152" i="1" a="1"/>
  <c r="CT152" i="1" s="1"/>
  <c r="CU152" i="1" a="1"/>
  <c r="CU152" i="1"/>
  <c r="CV152" i="1" a="1"/>
  <c r="CV152" i="1"/>
  <c r="CW152" i="1" a="1"/>
  <c r="CW152" i="1" s="1"/>
  <c r="CX152" i="1" a="1"/>
  <c r="CX152" i="1" s="1"/>
  <c r="CY152" i="1" a="1"/>
  <c r="CY152" i="1"/>
  <c r="CZ152" i="1" a="1"/>
  <c r="CZ152" i="1" s="1"/>
  <c r="DA152" i="1" a="1"/>
  <c r="DA152" i="1" s="1"/>
  <c r="DB152" i="1" a="1"/>
  <c r="DB152" i="1"/>
  <c r="DC152" i="1" a="1"/>
  <c r="DC152" i="1" s="1"/>
  <c r="DD152" i="1" a="1"/>
  <c r="DD152" i="1" s="1"/>
  <c r="DE152" i="1" a="1"/>
  <c r="DE152" i="1" s="1"/>
  <c r="CI153" i="1" a="1"/>
  <c r="CI153" i="1" s="1"/>
  <c r="CJ153" i="1" a="1"/>
  <c r="CJ153" i="1"/>
  <c r="CK153" i="1" a="1"/>
  <c r="CK153" i="1" s="1"/>
  <c r="CL153" i="1" a="1"/>
  <c r="CL153" i="1" s="1"/>
  <c r="CM153" i="1" a="1"/>
  <c r="CM153" i="1"/>
  <c r="CN153" i="1" a="1"/>
  <c r="CN153" i="1"/>
  <c r="CO153" i="1" a="1"/>
  <c r="CO153" i="1" s="1"/>
  <c r="CP153" i="1" a="1"/>
  <c r="CP153" i="1"/>
  <c r="CQ153" i="1" a="1"/>
  <c r="CQ153" i="1"/>
  <c r="CR153" i="1" a="1"/>
  <c r="CR153" i="1" s="1"/>
  <c r="CS153" i="1" a="1"/>
  <c r="CS153" i="1" s="1"/>
  <c r="CT153" i="1" a="1"/>
  <c r="CT153" i="1"/>
  <c r="CU153" i="1" a="1"/>
  <c r="CU153" i="1" s="1"/>
  <c r="CV153" i="1" a="1"/>
  <c r="CV153" i="1" s="1"/>
  <c r="CW153" i="1" a="1"/>
  <c r="CW153" i="1"/>
  <c r="CX153" i="1" a="1"/>
  <c r="CX153" i="1" s="1"/>
  <c r="CY153" i="1" a="1"/>
  <c r="CY153" i="1"/>
  <c r="CZ153" i="1" a="1"/>
  <c r="CZ153" i="1" s="1"/>
  <c r="DA153" i="1" a="1"/>
  <c r="DA153" i="1" s="1"/>
  <c r="DB153" i="1" a="1"/>
  <c r="DB153" i="1" s="1"/>
  <c r="DC153" i="1" a="1"/>
  <c r="DC153" i="1" s="1"/>
  <c r="DD153" i="1" a="1"/>
  <c r="DD153" i="1" s="1"/>
  <c r="DE153" i="1" a="1"/>
  <c r="DE153" i="1"/>
  <c r="CI154" i="1" a="1"/>
  <c r="CI154" i="1" s="1"/>
  <c r="CJ154" i="1" a="1"/>
  <c r="CJ154" i="1" s="1"/>
  <c r="CK154" i="1" a="1"/>
  <c r="CK154" i="1"/>
  <c r="CL154" i="1" a="1"/>
  <c r="CL154" i="1"/>
  <c r="CM154" i="1" a="1"/>
  <c r="CM154" i="1" s="1"/>
  <c r="CN154" i="1" a="1"/>
  <c r="CN154" i="1" s="1"/>
  <c r="CO154" i="1" a="1"/>
  <c r="CO154" i="1"/>
  <c r="CP154" i="1" a="1"/>
  <c r="CP154" i="1" s="1"/>
  <c r="CQ154" i="1" a="1"/>
  <c r="CQ154" i="1" s="1"/>
  <c r="CR154" i="1" a="1"/>
  <c r="CR154" i="1"/>
  <c r="CS154" i="1" a="1"/>
  <c r="CS154" i="1" s="1"/>
  <c r="CT154" i="1" a="1"/>
  <c r="CT154" i="1"/>
  <c r="CU154" i="1" a="1"/>
  <c r="CU154" i="1" s="1"/>
  <c r="CV154" i="1" a="1"/>
  <c r="CV154" i="1" s="1"/>
  <c r="CW154" i="1" a="1"/>
  <c r="CW154" i="1"/>
  <c r="CX154" i="1" a="1"/>
  <c r="CX154" i="1" s="1"/>
  <c r="CY154" i="1" a="1"/>
  <c r="CY154" i="1" s="1"/>
  <c r="CZ154" i="1" a="1"/>
  <c r="CZ154" i="1" s="1"/>
  <c r="DA154" i="1" a="1"/>
  <c r="DA154" i="1"/>
  <c r="DB154" i="1" a="1"/>
  <c r="DB154" i="1" s="1"/>
  <c r="DC154" i="1" a="1"/>
  <c r="DC154" i="1"/>
  <c r="DD154" i="1" a="1"/>
  <c r="DD154" i="1"/>
  <c r="DE154" i="1" a="1"/>
  <c r="DE154" i="1" s="1"/>
  <c r="CI155" i="1" a="1"/>
  <c r="CI155" i="1" s="1"/>
  <c r="CJ155" i="1" a="1"/>
  <c r="CJ155" i="1"/>
  <c r="CK155" i="1" a="1"/>
  <c r="CK155" i="1" s="1"/>
  <c r="CL155" i="1" a="1"/>
  <c r="CL155" i="1" s="1"/>
  <c r="CM155" i="1" a="1"/>
  <c r="CM155" i="1"/>
  <c r="CN155" i="1" a="1"/>
  <c r="CN155" i="1" s="1"/>
  <c r="CO155" i="1" a="1"/>
  <c r="CO155" i="1" s="1"/>
  <c r="CP155" i="1" a="1"/>
  <c r="CP155" i="1" s="1"/>
  <c r="CQ155" i="1" a="1"/>
  <c r="CQ155" i="1" s="1"/>
  <c r="CR155" i="1" a="1"/>
  <c r="CR155" i="1"/>
  <c r="CS155" i="1" a="1"/>
  <c r="CS155" i="1" s="1"/>
  <c r="CT155" i="1" a="1"/>
  <c r="CT155" i="1" s="1"/>
  <c r="CU155" i="1" a="1"/>
  <c r="CU155" i="1"/>
  <c r="CV155" i="1" a="1"/>
  <c r="CV155" i="1"/>
  <c r="CW155" i="1" a="1"/>
  <c r="CW155" i="1" s="1"/>
  <c r="CX155" i="1" a="1"/>
  <c r="CX155" i="1"/>
  <c r="CY155" i="1" a="1"/>
  <c r="CY155" i="1"/>
  <c r="CZ155" i="1" a="1"/>
  <c r="CZ155" i="1" s="1"/>
  <c r="DA155" i="1" a="1"/>
  <c r="DA155" i="1" s="1"/>
  <c r="DB155" i="1" a="1"/>
  <c r="DB155" i="1"/>
  <c r="DC155" i="1" a="1"/>
  <c r="DC155" i="1" s="1"/>
  <c r="DD155" i="1" a="1"/>
  <c r="DD155" i="1" s="1"/>
  <c r="DE155" i="1" a="1"/>
  <c r="DE155" i="1"/>
  <c r="CI156" i="1" a="1"/>
  <c r="CI156" i="1" s="1"/>
  <c r="CJ156" i="1" a="1"/>
  <c r="CJ156" i="1"/>
  <c r="CK156" i="1" a="1"/>
  <c r="CK156" i="1" s="1"/>
  <c r="CL156" i="1" a="1"/>
  <c r="CL156" i="1" s="1"/>
  <c r="CM156" i="1" a="1"/>
  <c r="CM156" i="1" s="1"/>
  <c r="CN156" i="1" a="1"/>
  <c r="CN156" i="1" s="1"/>
  <c r="CO156" i="1" a="1"/>
  <c r="CO156" i="1" s="1"/>
  <c r="CP156" i="1" a="1"/>
  <c r="CP156" i="1"/>
  <c r="CQ156" i="1" a="1"/>
  <c r="CQ156" i="1" s="1"/>
  <c r="CR156" i="1" a="1"/>
  <c r="CR156" i="1" s="1"/>
  <c r="CS156" i="1" a="1"/>
  <c r="CS156" i="1"/>
  <c r="CT156" i="1" a="1"/>
  <c r="CT156" i="1"/>
  <c r="CU156" i="1" a="1"/>
  <c r="CU156" i="1" s="1"/>
  <c r="CV156" i="1" a="1"/>
  <c r="CV156" i="1" s="1"/>
  <c r="CW156" i="1" a="1"/>
  <c r="CW156" i="1"/>
  <c r="CX156" i="1" a="1"/>
  <c r="CX156" i="1" s="1"/>
  <c r="CY156" i="1" a="1"/>
  <c r="CY156" i="1" s="1"/>
  <c r="CZ156" i="1" a="1"/>
  <c r="CZ156" i="1"/>
  <c r="DA156" i="1" a="1"/>
  <c r="DA156" i="1" s="1"/>
  <c r="DB156" i="1" a="1"/>
  <c r="DB156" i="1"/>
  <c r="DC156" i="1" a="1"/>
  <c r="DC156" i="1" s="1"/>
  <c r="DD156" i="1" a="1"/>
  <c r="DD156" i="1" s="1"/>
  <c r="DE156" i="1" a="1"/>
  <c r="DE156" i="1"/>
  <c r="CI157" i="1" a="1"/>
  <c r="CI157" i="1" s="1"/>
  <c r="CJ157" i="1" a="1"/>
  <c r="CJ157" i="1" s="1"/>
  <c r="CK157" i="1" a="1"/>
  <c r="CK157" i="1" s="1"/>
  <c r="CL157" i="1" a="1"/>
  <c r="CL157" i="1"/>
  <c r="CM157" i="1" a="1"/>
  <c r="CM157" i="1" s="1"/>
  <c r="CN157" i="1" a="1"/>
  <c r="CN157" i="1"/>
  <c r="CO157" i="1" a="1"/>
  <c r="CO157" i="1"/>
  <c r="CP157" i="1" a="1"/>
  <c r="CP157" i="1" s="1"/>
  <c r="CQ157" i="1" a="1"/>
  <c r="CQ157" i="1" s="1"/>
  <c r="CR157" i="1" a="1"/>
  <c r="CR157" i="1"/>
  <c r="CS157" i="1" a="1"/>
  <c r="CS157" i="1" s="1"/>
  <c r="CT157" i="1" a="1"/>
  <c r="CT157" i="1" s="1"/>
  <c r="CU157" i="1" a="1"/>
  <c r="CU157" i="1"/>
  <c r="CV157" i="1" a="1"/>
  <c r="CV157" i="1" s="1"/>
  <c r="CW157" i="1" a="1"/>
  <c r="CW157" i="1" s="1"/>
  <c r="CX157" i="1" a="1"/>
  <c r="CX157" i="1" s="1"/>
  <c r="CY157" i="1" a="1"/>
  <c r="CY157" i="1" s="1"/>
  <c r="CZ157" i="1" a="1"/>
  <c r="CZ157" i="1"/>
  <c r="DA157" i="1" a="1"/>
  <c r="DA157" i="1" s="1"/>
  <c r="DB157" i="1" a="1"/>
  <c r="DB157" i="1" s="1"/>
  <c r="DC157" i="1" a="1"/>
  <c r="DC157" i="1"/>
  <c r="DD157" i="1" a="1"/>
  <c r="DD157" i="1"/>
  <c r="DE157" i="1" a="1"/>
  <c r="DE157" i="1" s="1"/>
  <c r="CI158" i="1" a="1"/>
  <c r="CI158" i="1"/>
  <c r="CJ158" i="1" a="1"/>
  <c r="CJ158" i="1"/>
  <c r="CK158" i="1" a="1"/>
  <c r="CK158" i="1" s="1"/>
  <c r="CL158" i="1" a="1"/>
  <c r="CL158" i="1" s="1"/>
  <c r="CM158" i="1" a="1"/>
  <c r="CM158" i="1"/>
  <c r="CN158" i="1" a="1"/>
  <c r="CN158" i="1" s="1"/>
  <c r="CO158" i="1" a="1"/>
  <c r="CO158" i="1" s="1"/>
  <c r="CP158" i="1" a="1"/>
  <c r="CP158" i="1"/>
  <c r="CQ158" i="1" a="1"/>
  <c r="CQ158" i="1" s="1"/>
  <c r="CR158" i="1" a="1"/>
  <c r="CR158" i="1"/>
  <c r="CS158" i="1" a="1"/>
  <c r="CS158" i="1"/>
  <c r="CT158" i="1" a="1"/>
  <c r="CT158" i="1" s="1"/>
  <c r="CU158" i="1" a="1"/>
  <c r="CU158" i="1"/>
  <c r="CV158" i="1" a="1"/>
  <c r="CV158" i="1" s="1"/>
  <c r="CW158" i="1" a="1"/>
  <c r="CW158" i="1" s="1"/>
  <c r="CX158" i="1" a="1"/>
  <c r="CX158" i="1"/>
  <c r="CY158" i="1" a="1"/>
  <c r="CY158" i="1"/>
  <c r="CZ158" i="1" a="1"/>
  <c r="CZ158" i="1" s="1"/>
  <c r="DA158" i="1" a="1"/>
  <c r="DA158" i="1"/>
  <c r="DB158" i="1" a="1"/>
  <c r="DB158" i="1" s="1"/>
  <c r="DC158" i="1" a="1"/>
  <c r="DC158" i="1" s="1"/>
  <c r="DD158" i="1" a="1"/>
  <c r="DD158" i="1"/>
  <c r="DE158" i="1" a="1"/>
  <c r="DE158" i="1"/>
  <c r="CI159" i="1" a="1"/>
  <c r="CI159" i="1" s="1"/>
  <c r="CJ159" i="1" a="1"/>
  <c r="CJ159" i="1" s="1"/>
  <c r="CK159" i="1" a="1"/>
  <c r="CK159" i="1"/>
  <c r="CL159" i="1" a="1"/>
  <c r="CL159" i="1" s="1"/>
  <c r="CM159" i="1" a="1"/>
  <c r="CM159" i="1" s="1"/>
  <c r="CN159" i="1" a="1"/>
  <c r="CN159" i="1"/>
  <c r="CO159" i="1" a="1"/>
  <c r="CO159" i="1" s="1"/>
  <c r="CP159" i="1" a="1"/>
  <c r="CP159" i="1"/>
  <c r="CQ159" i="1" a="1"/>
  <c r="CQ159" i="1" s="1"/>
  <c r="CR159" i="1" a="1"/>
  <c r="CR159" i="1" s="1"/>
  <c r="CS159" i="1" a="1"/>
  <c r="CS159" i="1"/>
  <c r="CT159" i="1" a="1"/>
  <c r="CT159" i="1"/>
  <c r="CU159" i="1" a="1"/>
  <c r="CU159" i="1" s="1"/>
  <c r="CV159" i="1" a="1"/>
  <c r="CV159" i="1"/>
  <c r="CW159" i="1" a="1"/>
  <c r="CW159" i="1"/>
  <c r="CX159" i="1" a="1"/>
  <c r="CX159" i="1" s="1"/>
  <c r="CY159" i="1" a="1"/>
  <c r="CY159" i="1"/>
  <c r="CZ159" i="1" a="1"/>
  <c r="CZ159" i="1"/>
  <c r="DA159" i="1" a="1"/>
  <c r="DA159" i="1" s="1"/>
  <c r="DB159" i="1" a="1"/>
  <c r="DB159" i="1" s="1"/>
  <c r="DC159" i="1" a="1"/>
  <c r="DC159" i="1"/>
  <c r="DD159" i="1" a="1"/>
  <c r="DD159" i="1" s="1"/>
  <c r="DE159" i="1" a="1"/>
  <c r="DE159" i="1"/>
  <c r="CI160" i="1" a="1"/>
  <c r="CI160" i="1" s="1"/>
  <c r="CJ160" i="1" a="1"/>
  <c r="CJ160" i="1" s="1"/>
  <c r="CK160" i="1" a="1"/>
  <c r="CK160" i="1"/>
  <c r="CL160" i="1" a="1"/>
  <c r="CL160" i="1" s="1"/>
  <c r="CM160" i="1" a="1"/>
  <c r="CM160" i="1" s="1"/>
  <c r="CN160" i="1" a="1"/>
  <c r="CN160" i="1" s="1"/>
  <c r="CO160" i="1" a="1"/>
  <c r="CO160" i="1"/>
  <c r="CP160" i="1" a="1"/>
  <c r="CP160" i="1" s="1"/>
  <c r="CQ160" i="1" a="1"/>
  <c r="CQ160" i="1"/>
  <c r="CR160" i="1" a="1"/>
  <c r="CR160" i="1"/>
  <c r="CS160" i="1" a="1"/>
  <c r="CS160" i="1" s="1"/>
  <c r="CT160" i="1" a="1"/>
  <c r="CT160" i="1"/>
  <c r="CU160" i="1" a="1"/>
  <c r="CU160" i="1" s="1"/>
  <c r="CV160" i="1" a="1"/>
  <c r="CV160" i="1" s="1"/>
  <c r="CW160" i="1" a="1"/>
  <c r="CW160" i="1" s="1"/>
  <c r="CX160" i="1" a="1"/>
  <c r="CX160" i="1"/>
  <c r="CY160" i="1" a="1"/>
  <c r="CY160" i="1" s="1"/>
  <c r="CZ160" i="1" a="1"/>
  <c r="CZ160" i="1"/>
  <c r="DA160" i="1" a="1"/>
  <c r="DA160" i="1"/>
  <c r="DB160" i="1" a="1"/>
  <c r="DB160" i="1" s="1"/>
  <c r="DC160" i="1" a="1"/>
  <c r="DC160" i="1" s="1"/>
  <c r="DD160" i="1" a="1"/>
  <c r="DD160" i="1" s="1"/>
  <c r="DE160" i="1" a="1"/>
  <c r="DE160" i="1" s="1"/>
  <c r="CI161" i="1" a="1"/>
  <c r="CI161" i="1"/>
  <c r="CJ161" i="1" a="1"/>
  <c r="CJ161" i="1" s="1"/>
  <c r="CK161" i="1" a="1"/>
  <c r="CK161" i="1" s="1"/>
  <c r="CL161" i="1" a="1"/>
  <c r="CL161" i="1"/>
  <c r="CM161" i="1" a="1"/>
  <c r="CM161" i="1"/>
  <c r="CN161" i="1" a="1"/>
  <c r="CN161" i="1" s="1"/>
  <c r="CO161" i="1" a="1"/>
  <c r="CO161" i="1" s="1"/>
  <c r="CP161" i="1" a="1"/>
  <c r="CP161" i="1"/>
  <c r="CQ161" i="1" a="1"/>
  <c r="CQ161" i="1" s="1"/>
  <c r="CR161" i="1" a="1"/>
  <c r="CR161" i="1" s="1"/>
  <c r="CS161" i="1" a="1"/>
  <c r="CS161" i="1"/>
  <c r="CT161" i="1" a="1"/>
  <c r="CT161" i="1" s="1"/>
  <c r="CU161" i="1" a="1"/>
  <c r="CU161" i="1"/>
  <c r="CV161" i="1" a="1"/>
  <c r="CV161" i="1" s="1"/>
  <c r="CW161" i="1" a="1"/>
  <c r="CW161" i="1" s="1"/>
  <c r="CX161" i="1" a="1"/>
  <c r="CX161" i="1"/>
  <c r="CY161" i="1" a="1"/>
  <c r="CY161" i="1" s="1"/>
  <c r="CZ161" i="1" a="1"/>
  <c r="CZ161" i="1" s="1"/>
  <c r="DA161" i="1" a="1"/>
  <c r="DA161" i="1" s="1"/>
  <c r="DB161" i="1" a="1"/>
  <c r="DB161" i="1"/>
  <c r="DC161" i="1" a="1"/>
  <c r="DC161" i="1" s="1"/>
  <c r="DD161" i="1" a="1"/>
  <c r="DD161" i="1"/>
  <c r="DE161" i="1" a="1"/>
  <c r="DE161" i="1"/>
  <c r="CI162" i="1" a="1"/>
  <c r="CI162" i="1" s="1"/>
  <c r="CJ162" i="1" a="1"/>
  <c r="CJ162" i="1" s="1"/>
  <c r="CK162" i="1" a="1"/>
  <c r="CK162" i="1"/>
  <c r="CL162" i="1" a="1"/>
  <c r="CL162" i="1" s="1"/>
  <c r="CM162" i="1" a="1"/>
  <c r="CM162" i="1" s="1"/>
  <c r="CN162" i="1" a="1"/>
  <c r="CN162" i="1"/>
  <c r="CO162" i="1" a="1"/>
  <c r="CO162" i="1" s="1"/>
  <c r="CP162" i="1" a="1"/>
  <c r="CP162" i="1" s="1"/>
  <c r="CQ162" i="1" a="1"/>
  <c r="CQ162" i="1" s="1"/>
  <c r="CR162" i="1" a="1"/>
  <c r="CR162" i="1" s="1"/>
  <c r="CS162" i="1" a="1"/>
  <c r="CS162" i="1"/>
  <c r="CT162" i="1" a="1"/>
  <c r="CT162" i="1" s="1"/>
  <c r="CU162" i="1" a="1"/>
  <c r="CU162" i="1" s="1"/>
  <c r="CV162" i="1" a="1"/>
  <c r="CV162" i="1"/>
  <c r="CW162" i="1" a="1"/>
  <c r="CW162" i="1"/>
  <c r="CX162" i="1" a="1"/>
  <c r="CX162" i="1" s="1"/>
  <c r="CY162" i="1" a="1"/>
  <c r="CY162" i="1"/>
  <c r="CZ162" i="1" a="1"/>
  <c r="CZ162" i="1"/>
  <c r="DA162" i="1" a="1"/>
  <c r="DA162" i="1" s="1"/>
  <c r="DB162" i="1" a="1"/>
  <c r="DB162" i="1"/>
  <c r="DC162" i="1" a="1"/>
  <c r="DC162" i="1"/>
  <c r="DD162" i="1" a="1"/>
  <c r="DD162" i="1" s="1"/>
  <c r="DE162" i="1" a="1"/>
  <c r="DE162" i="1" s="1"/>
  <c r="CI163" i="1" a="1"/>
  <c r="CI163" i="1"/>
  <c r="CJ163" i="1" a="1"/>
  <c r="CJ163" i="1" s="1"/>
  <c r="CK163" i="1" a="1"/>
  <c r="CK163" i="1"/>
  <c r="CL163" i="1" a="1"/>
  <c r="CL163" i="1"/>
  <c r="CM163" i="1" a="1"/>
  <c r="CM163" i="1" s="1"/>
  <c r="CN163" i="1" a="1"/>
  <c r="CN163" i="1"/>
  <c r="CO163" i="1" a="1"/>
  <c r="CO163" i="1" s="1"/>
  <c r="CP163" i="1" a="1"/>
  <c r="CP163" i="1" s="1"/>
  <c r="CQ163" i="1" a="1"/>
  <c r="CQ163" i="1" s="1"/>
  <c r="CR163" i="1" a="1"/>
  <c r="CR163" i="1"/>
  <c r="CS163" i="1" a="1"/>
  <c r="CS163" i="1" s="1"/>
  <c r="CT163" i="1" a="1"/>
  <c r="CT163" i="1"/>
  <c r="CU163" i="1" a="1"/>
  <c r="CU163" i="1"/>
  <c r="CV163" i="1" a="1"/>
  <c r="CV163" i="1" s="1"/>
  <c r="CW163" i="1" a="1"/>
  <c r="CW163" i="1" s="1"/>
  <c r="CX163" i="1" a="1"/>
  <c r="CX163" i="1"/>
  <c r="CY163" i="1" a="1"/>
  <c r="CY163" i="1" s="1"/>
  <c r="CZ163" i="1" a="1"/>
  <c r="CZ163" i="1" s="1"/>
  <c r="DA163" i="1" a="1"/>
  <c r="DA163" i="1"/>
  <c r="DB163" i="1" a="1"/>
  <c r="DB163" i="1" s="1"/>
  <c r="DC163" i="1" a="1"/>
  <c r="DC163" i="1" s="1"/>
  <c r="DD163" i="1" a="1"/>
  <c r="DD163" i="1"/>
  <c r="DE163" i="1" a="1"/>
  <c r="DE163" i="1" s="1"/>
  <c r="CI164" i="1" a="1"/>
  <c r="CI164" i="1"/>
  <c r="CJ164" i="1" a="1"/>
  <c r="CJ164" i="1" s="1"/>
  <c r="CK164" i="1" a="1"/>
  <c r="CK164" i="1" s="1"/>
  <c r="CL164" i="1" a="1"/>
  <c r="CL164" i="1"/>
  <c r="CM164" i="1" a="1"/>
  <c r="CM164" i="1"/>
  <c r="CN164" i="1" a="1"/>
  <c r="CN164" i="1" s="1"/>
  <c r="CO164" i="1" a="1"/>
  <c r="CO164" i="1"/>
  <c r="CP164" i="1" a="1"/>
  <c r="CP164" i="1"/>
  <c r="CQ164" i="1" a="1"/>
  <c r="CQ164" i="1" s="1"/>
  <c r="CR164" i="1" a="1"/>
  <c r="CR164" i="1"/>
  <c r="CS164" i="1" a="1"/>
  <c r="CS164" i="1"/>
  <c r="CT164" i="1" a="1"/>
  <c r="CT164" i="1" s="1"/>
  <c r="CU164" i="1" a="1"/>
  <c r="CU164" i="1" s="1"/>
  <c r="CV164" i="1" a="1"/>
  <c r="CV164" i="1"/>
  <c r="CW164" i="1" a="1"/>
  <c r="CW164" i="1" s="1"/>
  <c r="CX164" i="1" a="1"/>
  <c r="CX164" i="1"/>
  <c r="CY164" i="1" a="1"/>
  <c r="CY164" i="1"/>
  <c r="CZ164" i="1" a="1"/>
  <c r="CZ164" i="1" s="1"/>
  <c r="DA164" i="1" a="1"/>
  <c r="DA164" i="1"/>
  <c r="DB164" i="1" a="1"/>
  <c r="DB164" i="1" s="1"/>
  <c r="DC164" i="1" a="1"/>
  <c r="DC164" i="1" s="1"/>
  <c r="DD164" i="1" a="1"/>
  <c r="DD164" i="1"/>
  <c r="DE164" i="1" a="1"/>
  <c r="DE164" i="1"/>
  <c r="CI165" i="1" a="1"/>
  <c r="CI165" i="1" s="1"/>
  <c r="CJ165" i="1" a="1"/>
  <c r="CJ165" i="1"/>
  <c r="CK165" i="1" a="1"/>
  <c r="CK165" i="1"/>
  <c r="CL165" i="1" a="1"/>
  <c r="CL165" i="1" s="1"/>
  <c r="CM165" i="1" a="1"/>
  <c r="CM165" i="1" s="1"/>
  <c r="CN165" i="1" a="1"/>
  <c r="CN165" i="1" s="1"/>
  <c r="CO165" i="1" a="1"/>
  <c r="CO165" i="1" s="1"/>
  <c r="CP165" i="1" a="1"/>
  <c r="CP165" i="1" s="1"/>
  <c r="CQ165" i="1" a="1"/>
  <c r="CQ165" i="1"/>
  <c r="CR165" i="1" a="1"/>
  <c r="CR165" i="1" s="1"/>
  <c r="CS165" i="1" a="1"/>
  <c r="CS165" i="1"/>
  <c r="CT165" i="1" a="1"/>
  <c r="CT165" i="1" s="1"/>
  <c r="CU165" i="1" a="1"/>
  <c r="CU165" i="1" s="1"/>
  <c r="CV165" i="1" a="1"/>
  <c r="CV165" i="1"/>
  <c r="CW165" i="1" a="1"/>
  <c r="CW165" i="1" s="1"/>
  <c r="CX165" i="1" a="1"/>
  <c r="CX165" i="1" s="1"/>
  <c r="CY165" i="1" a="1"/>
  <c r="CY165" i="1"/>
  <c r="CZ165" i="1" a="1"/>
  <c r="CZ165" i="1"/>
  <c r="DA165" i="1" a="1"/>
  <c r="DA165" i="1" s="1"/>
  <c r="DB165" i="1" a="1"/>
  <c r="DB165" i="1"/>
  <c r="DC165" i="1" a="1"/>
  <c r="DC165" i="1"/>
  <c r="DD165" i="1" a="1"/>
  <c r="DD165" i="1" s="1"/>
  <c r="DE165" i="1" a="1"/>
  <c r="DE165" i="1" s="1"/>
  <c r="CI166" i="1" a="1"/>
  <c r="CI166" i="1"/>
  <c r="CJ166" i="1" a="1"/>
  <c r="CJ166" i="1" s="1"/>
  <c r="CK166" i="1" a="1"/>
  <c r="CK166" i="1" s="1"/>
  <c r="CL166" i="1" a="1"/>
  <c r="CL166" i="1"/>
  <c r="CM166" i="1" a="1"/>
  <c r="CM166" i="1" s="1"/>
  <c r="CN166" i="1" a="1"/>
  <c r="CN166" i="1"/>
  <c r="CO166" i="1" a="1"/>
  <c r="CO166" i="1" s="1"/>
  <c r="CP166" i="1" a="1"/>
  <c r="CP166" i="1" s="1"/>
  <c r="CQ166" i="1" a="1"/>
  <c r="CQ166" i="1"/>
  <c r="CR166" i="1" a="1"/>
  <c r="CR166" i="1" s="1"/>
  <c r="CS166" i="1" a="1"/>
  <c r="CS166" i="1" s="1"/>
  <c r="CT166" i="1" a="1"/>
  <c r="CT166" i="1"/>
  <c r="CU166" i="1" a="1"/>
  <c r="CU166" i="1"/>
  <c r="CV166" i="1" a="1"/>
  <c r="CV166" i="1" s="1"/>
  <c r="CW166" i="1" a="1"/>
  <c r="CW166" i="1"/>
  <c r="CX166" i="1" a="1"/>
  <c r="CX166" i="1" s="1"/>
  <c r="CY166" i="1" a="1"/>
  <c r="CY166" i="1" s="1"/>
  <c r="CZ166" i="1" a="1"/>
  <c r="CZ166" i="1" s="1"/>
  <c r="DA166" i="1" a="1"/>
  <c r="DA166" i="1"/>
  <c r="DB166" i="1" a="1"/>
  <c r="DB166" i="1" s="1"/>
  <c r="DC166" i="1" a="1"/>
  <c r="DC166" i="1" s="1"/>
  <c r="DD166" i="1" a="1"/>
  <c r="DD166" i="1"/>
  <c r="DE166" i="1" a="1"/>
  <c r="DE166" i="1" s="1"/>
  <c r="CI167" i="1" a="1"/>
  <c r="CI167" i="1"/>
  <c r="CJ167" i="1" a="1"/>
  <c r="CJ167" i="1" s="1"/>
  <c r="CK167" i="1" a="1"/>
  <c r="CK167" i="1" s="1"/>
  <c r="CL167" i="1" a="1"/>
  <c r="CL167" i="1"/>
  <c r="CM167" i="1" a="1"/>
  <c r="CM167" i="1" s="1"/>
  <c r="CN167" i="1" a="1"/>
  <c r="CN167" i="1"/>
  <c r="CO167" i="1" a="1"/>
  <c r="CO167" i="1"/>
  <c r="CP167" i="1" a="1"/>
  <c r="CP167" i="1" s="1"/>
  <c r="CQ167" i="1" a="1"/>
  <c r="CQ167" i="1"/>
  <c r="CR167" i="1" a="1"/>
  <c r="CR167" i="1"/>
  <c r="CS167" i="1" a="1"/>
  <c r="CS167" i="1" s="1"/>
  <c r="CT167" i="1" a="1"/>
  <c r="CT167" i="1"/>
  <c r="CU167" i="1" a="1"/>
  <c r="CU167" i="1" s="1"/>
  <c r="CV167" i="1" a="1"/>
  <c r="CV167" i="1" s="1"/>
  <c r="CW167" i="1" a="1"/>
  <c r="CW167" i="1"/>
  <c r="CX167" i="1" a="1"/>
  <c r="CX167" i="1"/>
  <c r="CY167" i="1" a="1"/>
  <c r="CY167" i="1" s="1"/>
  <c r="CZ167" i="1" a="1"/>
  <c r="CZ167" i="1"/>
  <c r="DA167" i="1" a="1"/>
  <c r="DA167" i="1"/>
  <c r="DB167" i="1" a="1"/>
  <c r="DB167" i="1" s="1"/>
  <c r="DC167" i="1" a="1"/>
  <c r="DC167" i="1"/>
  <c r="DD167" i="1" a="1"/>
  <c r="DD167" i="1"/>
  <c r="DE167" i="1" a="1"/>
  <c r="DE167" i="1" s="1"/>
  <c r="CI168" i="1" a="1"/>
  <c r="CI168" i="1"/>
  <c r="CJ168" i="1" a="1"/>
  <c r="CJ168" i="1"/>
  <c r="CK168" i="1" a="1"/>
  <c r="CK168" i="1" s="1"/>
  <c r="CL168" i="1" a="1"/>
  <c r="CL168" i="1"/>
  <c r="CM168" i="1" a="1"/>
  <c r="CM168" i="1"/>
  <c r="CN168" i="1" a="1"/>
  <c r="CN168" i="1" s="1"/>
  <c r="CO168" i="1" a="1"/>
  <c r="CO168" i="1"/>
  <c r="CP168" i="1" a="1"/>
  <c r="CP168" i="1" s="1"/>
  <c r="CQ168" i="1" a="1"/>
  <c r="CQ168" i="1" s="1"/>
  <c r="CR168" i="1" a="1"/>
  <c r="CR168" i="1"/>
  <c r="CS168" i="1" a="1"/>
  <c r="CS168" i="1"/>
  <c r="CT168" i="1" a="1"/>
  <c r="CT168" i="1" s="1"/>
  <c r="CU168" i="1" a="1"/>
  <c r="CU168" i="1"/>
  <c r="CV168" i="1" a="1"/>
  <c r="CV168" i="1"/>
  <c r="CW168" i="1" a="1"/>
  <c r="CW168" i="1" s="1"/>
  <c r="CX168" i="1" a="1"/>
  <c r="CX168" i="1"/>
  <c r="CY168" i="1" a="1"/>
  <c r="CY168" i="1"/>
  <c r="CZ168" i="1" a="1"/>
  <c r="CZ168" i="1" s="1"/>
  <c r="DA168" i="1" a="1"/>
  <c r="DA168" i="1"/>
  <c r="DB168" i="1" a="1"/>
  <c r="DB168" i="1"/>
  <c r="DC168" i="1" a="1"/>
  <c r="DC168" i="1" s="1"/>
  <c r="DD168" i="1" a="1"/>
  <c r="DD168" i="1"/>
  <c r="DE168" i="1" a="1"/>
  <c r="DE168" i="1"/>
  <c r="CI169" i="1" a="1"/>
  <c r="CI169" i="1" s="1"/>
  <c r="CJ169" i="1" a="1"/>
  <c r="CJ169" i="1"/>
  <c r="CK169" i="1" a="1"/>
  <c r="CK169" i="1" s="1"/>
  <c r="CL169" i="1" a="1"/>
  <c r="CL169" i="1" s="1"/>
  <c r="CM169" i="1" a="1"/>
  <c r="CM169" i="1"/>
  <c r="CN169" i="1" a="1"/>
  <c r="CN169" i="1"/>
  <c r="CO169" i="1" a="1"/>
  <c r="CO169" i="1" s="1"/>
  <c r="CP169" i="1" a="1"/>
  <c r="CP169" i="1"/>
  <c r="CQ169" i="1" a="1"/>
  <c r="CQ169" i="1"/>
  <c r="CR169" i="1" a="1"/>
  <c r="CR169" i="1" s="1"/>
  <c r="CS169" i="1" a="1"/>
  <c r="CS169" i="1"/>
  <c r="CT169" i="1" a="1"/>
  <c r="CT169" i="1"/>
  <c r="CU169" i="1" a="1"/>
  <c r="CU169" i="1" s="1"/>
  <c r="CV169" i="1" a="1"/>
  <c r="CV169" i="1"/>
  <c r="CW169" i="1" a="1"/>
  <c r="CW169" i="1"/>
  <c r="CX169" i="1" a="1"/>
  <c r="CX169" i="1" s="1"/>
  <c r="CY169" i="1" a="1"/>
  <c r="CY169" i="1"/>
  <c r="CZ169" i="1" a="1"/>
  <c r="CZ169" i="1"/>
  <c r="DA169" i="1" a="1"/>
  <c r="DA169" i="1" s="1"/>
  <c r="DB169" i="1" a="1"/>
  <c r="DB169" i="1"/>
  <c r="DC169" i="1" a="1"/>
  <c r="DC169" i="1" s="1"/>
  <c r="DD169" i="1" a="1"/>
  <c r="DD169" i="1" s="1"/>
  <c r="DE169" i="1" a="1"/>
  <c r="DE169" i="1"/>
  <c r="CI170" i="1" a="1"/>
  <c r="CI170" i="1"/>
  <c r="CJ170" i="1" a="1"/>
  <c r="CJ170" i="1" s="1"/>
  <c r="CK170" i="1" a="1"/>
  <c r="CK170" i="1"/>
  <c r="CL170" i="1" a="1"/>
  <c r="CL170" i="1"/>
  <c r="CM170" i="1" a="1"/>
  <c r="CM170" i="1" s="1"/>
  <c r="CN170" i="1" a="1"/>
  <c r="CN170" i="1"/>
  <c r="CO170" i="1" a="1"/>
  <c r="CO170" i="1"/>
  <c r="CP170" i="1" a="1"/>
  <c r="CP170" i="1" s="1"/>
  <c r="CQ170" i="1" a="1"/>
  <c r="CQ170" i="1" s="1"/>
  <c r="CR170" i="1" a="1"/>
  <c r="CR170" i="1"/>
  <c r="CS170" i="1" a="1"/>
  <c r="CS170" i="1" s="1"/>
  <c r="CT170" i="1" a="1"/>
  <c r="CT170" i="1"/>
  <c r="CU170" i="1" a="1"/>
  <c r="CU170" i="1"/>
  <c r="CV170" i="1" a="1"/>
  <c r="CV170" i="1" s="1"/>
  <c r="CW170" i="1" a="1"/>
  <c r="CW170" i="1"/>
  <c r="CX170" i="1" a="1"/>
  <c r="CX170" i="1" s="1"/>
  <c r="CY170" i="1" a="1"/>
  <c r="CY170" i="1" s="1"/>
  <c r="CZ170" i="1" a="1"/>
  <c r="CZ170" i="1"/>
  <c r="DA170" i="1" a="1"/>
  <c r="DA170" i="1"/>
  <c r="DB170" i="1" a="1"/>
  <c r="DB170" i="1" s="1"/>
  <c r="DC170" i="1" a="1"/>
  <c r="DC170" i="1"/>
  <c r="DD170" i="1" a="1"/>
  <c r="DD170" i="1"/>
  <c r="DE170" i="1" a="1"/>
  <c r="DE170" i="1" s="1"/>
  <c r="CI171" i="1" a="1"/>
  <c r="CI171" i="1"/>
  <c r="CJ171" i="1" a="1"/>
  <c r="CJ171" i="1"/>
  <c r="CK171" i="1" a="1"/>
  <c r="CK171" i="1" s="1"/>
  <c r="CL171" i="1" a="1"/>
  <c r="CL171" i="1" s="1"/>
  <c r="CM171" i="1" a="1"/>
  <c r="CM171" i="1"/>
  <c r="CN171" i="1" a="1"/>
  <c r="CN171" i="1" s="1"/>
  <c r="CO171" i="1" a="1"/>
  <c r="CO171" i="1"/>
  <c r="CP171" i="1" a="1"/>
  <c r="CP171" i="1"/>
  <c r="CQ171" i="1" a="1"/>
  <c r="CQ171" i="1" s="1"/>
  <c r="CR171" i="1" a="1"/>
  <c r="CR171" i="1"/>
  <c r="CS171" i="1" a="1"/>
  <c r="CS171" i="1" s="1"/>
  <c r="CT171" i="1" a="1"/>
  <c r="CT171" i="1" s="1"/>
  <c r="CU171" i="1" a="1"/>
  <c r="CU171" i="1"/>
  <c r="CV171" i="1" a="1"/>
  <c r="CV171" i="1"/>
  <c r="CW171" i="1" a="1"/>
  <c r="CW171" i="1" s="1"/>
  <c r="CX171" i="1" a="1"/>
  <c r="CX171" i="1"/>
  <c r="CY171" i="1" a="1"/>
  <c r="CY171" i="1"/>
  <c r="CZ171" i="1" a="1"/>
  <c r="CZ171" i="1" s="1"/>
  <c r="DA171" i="1" a="1"/>
  <c r="DA171" i="1"/>
  <c r="DB171" i="1" a="1"/>
  <c r="DB171" i="1"/>
  <c r="DC171" i="1" a="1"/>
  <c r="DC171" i="1" s="1"/>
  <c r="DD171" i="1" a="1"/>
  <c r="DD171" i="1" s="1"/>
  <c r="DE171" i="1" a="1"/>
  <c r="DE171" i="1"/>
  <c r="CI172" i="1" a="1"/>
  <c r="CI172" i="1" s="1"/>
  <c r="CJ172" i="1" a="1"/>
  <c r="CJ172" i="1"/>
  <c r="CK172" i="1" a="1"/>
  <c r="CK172" i="1"/>
  <c r="CL172" i="1" a="1"/>
  <c r="CL172" i="1" s="1"/>
  <c r="CM172" i="1" a="1"/>
  <c r="CM172" i="1"/>
  <c r="CN172" i="1" a="1"/>
  <c r="CN172" i="1" s="1"/>
  <c r="CO172" i="1" a="1"/>
  <c r="CO172" i="1" s="1"/>
  <c r="CP172" i="1" a="1"/>
  <c r="CP172" i="1"/>
  <c r="CQ172" i="1" a="1"/>
  <c r="CQ172" i="1"/>
  <c r="CR172" i="1" a="1"/>
  <c r="CR172" i="1" s="1"/>
  <c r="CS172" i="1" a="1"/>
  <c r="CS172" i="1"/>
  <c r="CT172" i="1" a="1"/>
  <c r="CT172" i="1"/>
  <c r="CU172" i="1" a="1"/>
  <c r="CU172" i="1" s="1"/>
  <c r="CV172" i="1" a="1"/>
  <c r="CV172" i="1"/>
  <c r="CW172" i="1" a="1"/>
  <c r="CW172" i="1"/>
  <c r="CX172" i="1" a="1"/>
  <c r="CX172" i="1" s="1"/>
  <c r="CY172" i="1" a="1"/>
  <c r="CY172" i="1" s="1"/>
  <c r="CZ172" i="1" a="1"/>
  <c r="CZ172" i="1"/>
  <c r="DA172" i="1" a="1"/>
  <c r="DA172" i="1" s="1"/>
  <c r="DB172" i="1" a="1"/>
  <c r="DB172" i="1"/>
  <c r="DC172" i="1" a="1"/>
  <c r="DC172" i="1"/>
  <c r="DD172" i="1" a="1"/>
  <c r="DD172" i="1" s="1"/>
  <c r="DE172" i="1" a="1"/>
  <c r="DE172" i="1"/>
  <c r="CI173" i="1" a="1"/>
  <c r="CI173" i="1" s="1"/>
  <c r="CJ173" i="1" a="1"/>
  <c r="CJ173" i="1" s="1"/>
  <c r="CK173" i="1" a="1"/>
  <c r="CK173" i="1"/>
  <c r="CL173" i="1" a="1"/>
  <c r="CL173" i="1"/>
  <c r="CM173" i="1" a="1"/>
  <c r="CM173" i="1" s="1"/>
  <c r="CN173" i="1" a="1"/>
  <c r="CN173" i="1"/>
  <c r="CO173" i="1" a="1"/>
  <c r="CO173" i="1"/>
  <c r="CP173" i="1" a="1"/>
  <c r="CP173" i="1" s="1"/>
  <c r="CQ173" i="1" a="1"/>
  <c r="CQ173" i="1"/>
  <c r="CR173" i="1" a="1"/>
  <c r="CR173" i="1"/>
  <c r="CS173" i="1" a="1"/>
  <c r="CS173" i="1" s="1"/>
  <c r="CT173" i="1" a="1"/>
  <c r="CT173" i="1" s="1"/>
  <c r="CU173" i="1" a="1"/>
  <c r="CU173" i="1"/>
  <c r="CV173" i="1" a="1"/>
  <c r="CV173" i="1" s="1"/>
  <c r="CW173" i="1" a="1"/>
  <c r="CW173" i="1"/>
  <c r="CX173" i="1" a="1"/>
  <c r="CX173" i="1"/>
  <c r="CY173" i="1" a="1"/>
  <c r="CY173" i="1" s="1"/>
  <c r="CZ173" i="1" a="1"/>
  <c r="CZ173" i="1"/>
  <c r="DA173" i="1" a="1"/>
  <c r="DA173" i="1" s="1"/>
  <c r="DB173" i="1" a="1"/>
  <c r="DB173" i="1" s="1"/>
  <c r="DC173" i="1" a="1"/>
  <c r="DC173" i="1"/>
  <c r="DD173" i="1" a="1"/>
  <c r="DD173" i="1"/>
  <c r="DE173" i="1" a="1"/>
  <c r="DE173" i="1" s="1"/>
  <c r="CI174" i="1" a="1"/>
  <c r="CI174" i="1"/>
  <c r="CJ174" i="1" a="1"/>
  <c r="CJ174" i="1"/>
  <c r="CK174" i="1" a="1"/>
  <c r="CK174" i="1" s="1"/>
  <c r="CL174" i="1" a="1"/>
  <c r="CL174" i="1"/>
  <c r="CM174" i="1" a="1"/>
  <c r="CM174" i="1"/>
  <c r="CN174" i="1" a="1"/>
  <c r="CN174" i="1" s="1"/>
  <c r="CO174" i="1" a="1"/>
  <c r="CO174" i="1" s="1"/>
  <c r="CP174" i="1" a="1"/>
  <c r="CP174" i="1"/>
  <c r="CQ174" i="1" a="1"/>
  <c r="CQ174" i="1" s="1"/>
  <c r="CR174" i="1" a="1"/>
  <c r="CR174" i="1"/>
  <c r="CS174" i="1" a="1"/>
  <c r="CS174" i="1"/>
  <c r="CT174" i="1" a="1"/>
  <c r="CT174" i="1" s="1"/>
  <c r="CU174" i="1" a="1"/>
  <c r="CU174" i="1"/>
  <c r="CV174" i="1" a="1"/>
  <c r="CV174" i="1" s="1"/>
  <c r="CW174" i="1" a="1"/>
  <c r="CW174" i="1" s="1"/>
  <c r="CX174" i="1" a="1"/>
  <c r="CX174" i="1"/>
  <c r="CY174" i="1" a="1"/>
  <c r="CY174" i="1"/>
  <c r="CZ174" i="1" a="1"/>
  <c r="CZ174" i="1" s="1"/>
  <c r="DA174" i="1" a="1"/>
  <c r="DA174" i="1"/>
  <c r="DB174" i="1" a="1"/>
  <c r="DB174" i="1"/>
  <c r="DC174" i="1" a="1"/>
  <c r="DC174" i="1" s="1"/>
  <c r="DD174" i="1" a="1"/>
  <c r="DD174" i="1"/>
  <c r="DE174" i="1" a="1"/>
  <c r="DE174" i="1"/>
  <c r="CI175" i="1" a="1"/>
  <c r="CI175" i="1" s="1"/>
  <c r="CJ175" i="1" a="1"/>
  <c r="CJ175" i="1" s="1"/>
  <c r="CK175" i="1" a="1"/>
  <c r="CK175" i="1"/>
  <c r="CL175" i="1" a="1"/>
  <c r="CL175" i="1" s="1"/>
  <c r="CM175" i="1" a="1"/>
  <c r="CM175" i="1"/>
  <c r="CN175" i="1" a="1"/>
  <c r="CN175" i="1"/>
  <c r="CO175" i="1" a="1"/>
  <c r="CO175" i="1" s="1"/>
  <c r="CP175" i="1" a="1"/>
  <c r="CP175" i="1"/>
  <c r="CQ175" i="1" a="1"/>
  <c r="CQ175" i="1" s="1"/>
  <c r="CR175" i="1" a="1"/>
  <c r="CR175" i="1" s="1"/>
  <c r="CS175" i="1" a="1"/>
  <c r="CS175" i="1"/>
  <c r="CT175" i="1" a="1"/>
  <c r="CT175" i="1"/>
  <c r="CU175" i="1" a="1"/>
  <c r="CU175" i="1" s="1"/>
  <c r="CV175" i="1" a="1"/>
  <c r="CV175" i="1"/>
  <c r="CW175" i="1" a="1"/>
  <c r="CW175" i="1"/>
  <c r="CX175" i="1" a="1"/>
  <c r="CX175" i="1" s="1"/>
  <c r="CY175" i="1" a="1"/>
  <c r="CY175" i="1"/>
  <c r="CZ175" i="1" a="1"/>
  <c r="CZ175" i="1"/>
  <c r="DA175" i="1" a="1"/>
  <c r="DA175" i="1" s="1"/>
  <c r="DB175" i="1" a="1"/>
  <c r="DB175" i="1" s="1"/>
  <c r="DC175" i="1" a="1"/>
  <c r="DC175" i="1"/>
  <c r="DD175" i="1" a="1"/>
  <c r="DD175" i="1" s="1"/>
  <c r="DE175" i="1" a="1"/>
  <c r="DE175" i="1"/>
  <c r="CI176" i="1" a="1"/>
  <c r="CI176" i="1"/>
  <c r="CJ176" i="1" a="1"/>
  <c r="CJ176" i="1" s="1"/>
  <c r="CK176" i="1" a="1"/>
  <c r="CK176" i="1"/>
  <c r="CL176" i="1" a="1"/>
  <c r="CL176" i="1" s="1"/>
  <c r="CM176" i="1" a="1"/>
  <c r="CM176" i="1" s="1"/>
  <c r="CN176" i="1" a="1"/>
  <c r="CN176" i="1"/>
  <c r="CO176" i="1" a="1"/>
  <c r="CO176" i="1"/>
  <c r="CP176" i="1" a="1"/>
  <c r="CP176" i="1" s="1"/>
  <c r="CQ176" i="1" a="1"/>
  <c r="CQ176" i="1"/>
  <c r="CR176" i="1" a="1"/>
  <c r="CR176" i="1"/>
  <c r="CS176" i="1" a="1"/>
  <c r="CS176" i="1" s="1"/>
  <c r="CT176" i="1" a="1"/>
  <c r="CT176" i="1"/>
  <c r="CU176" i="1" a="1"/>
  <c r="CU176" i="1"/>
  <c r="CV176" i="1" a="1"/>
  <c r="CV176" i="1" s="1"/>
  <c r="CW176" i="1" a="1"/>
  <c r="CW176" i="1" s="1"/>
  <c r="CX176" i="1" a="1"/>
  <c r="CX176" i="1"/>
  <c r="CY176" i="1" a="1"/>
  <c r="CY176" i="1" s="1"/>
  <c r="CZ176" i="1" a="1"/>
  <c r="CZ176" i="1"/>
  <c r="DA176" i="1" a="1"/>
  <c r="DA176" i="1"/>
  <c r="DB176" i="1" a="1"/>
  <c r="DB176" i="1" s="1"/>
  <c r="DC176" i="1" a="1"/>
  <c r="DC176" i="1"/>
  <c r="DD176" i="1" a="1"/>
  <c r="DD176" i="1" s="1"/>
  <c r="DE176" i="1" a="1"/>
  <c r="DE176" i="1" s="1"/>
  <c r="CI177" i="1" a="1"/>
  <c r="CI177" i="1"/>
  <c r="CJ177" i="1" a="1"/>
  <c r="CJ177" i="1"/>
  <c r="CK177" i="1" a="1"/>
  <c r="CK177" i="1" s="1"/>
  <c r="CL177" i="1" a="1"/>
  <c r="CL177" i="1"/>
  <c r="CM177" i="1" a="1"/>
  <c r="CM177" i="1"/>
  <c r="CN177" i="1" a="1"/>
  <c r="CN177" i="1" s="1"/>
  <c r="CO177" i="1" a="1"/>
  <c r="CO177" i="1"/>
  <c r="CP177" i="1" a="1"/>
  <c r="CP177" i="1"/>
  <c r="CQ177" i="1" a="1"/>
  <c r="CQ177" i="1" s="1"/>
  <c r="CR177" i="1" a="1"/>
  <c r="CR177" i="1" s="1"/>
  <c r="CS177" i="1" a="1"/>
  <c r="CS177" i="1"/>
  <c r="CT177" i="1" a="1"/>
  <c r="CT177" i="1" s="1"/>
  <c r="CU177" i="1" a="1"/>
  <c r="CU177" i="1"/>
  <c r="CV177" i="1" a="1"/>
  <c r="CV177" i="1"/>
  <c r="CW177" i="1" a="1"/>
  <c r="CW177" i="1" s="1"/>
  <c r="CX177" i="1" a="1"/>
  <c r="CX177" i="1"/>
  <c r="CY177" i="1" a="1"/>
  <c r="CY177" i="1" s="1"/>
  <c r="CZ177" i="1" a="1"/>
  <c r="CZ177" i="1" s="1"/>
  <c r="DA177" i="1" a="1"/>
  <c r="DA177" i="1"/>
  <c r="DB177" i="1" a="1"/>
  <c r="DB177" i="1"/>
  <c r="DC177" i="1" a="1"/>
  <c r="DC177" i="1" s="1"/>
  <c r="DD177" i="1" a="1"/>
  <c r="DD177" i="1"/>
  <c r="DE177" i="1" a="1"/>
  <c r="DE177" i="1"/>
  <c r="CI178" i="1" a="1"/>
  <c r="CI178" i="1" s="1"/>
  <c r="CJ178" i="1" a="1"/>
  <c r="CJ178" i="1"/>
  <c r="CK178" i="1" a="1"/>
  <c r="CK178" i="1"/>
  <c r="CL178" i="1" a="1"/>
  <c r="CL178" i="1" s="1"/>
  <c r="CM178" i="1" a="1"/>
  <c r="CM178" i="1" s="1"/>
  <c r="CN178" i="1" a="1"/>
  <c r="CN178" i="1"/>
  <c r="CO178" i="1" a="1"/>
  <c r="CO178" i="1" s="1"/>
  <c r="CP178" i="1" a="1"/>
  <c r="CP178" i="1"/>
  <c r="CQ178" i="1" a="1"/>
  <c r="CQ178" i="1"/>
  <c r="CR178" i="1" a="1"/>
  <c r="CR178" i="1" s="1"/>
  <c r="CS178" i="1" a="1"/>
  <c r="CS178" i="1"/>
  <c r="CT178" i="1" a="1"/>
  <c r="CT178" i="1" s="1"/>
  <c r="CU178" i="1" a="1"/>
  <c r="CU178" i="1" s="1"/>
  <c r="CV178" i="1" a="1"/>
  <c r="CV178" i="1"/>
  <c r="CW178" i="1" a="1"/>
  <c r="CW178" i="1"/>
  <c r="CX178" i="1" a="1"/>
  <c r="CX178" i="1" s="1"/>
  <c r="CY178" i="1" a="1"/>
  <c r="CY178" i="1"/>
  <c r="CZ178" i="1" a="1"/>
  <c r="CZ178" i="1"/>
  <c r="DA178" i="1" a="1"/>
  <c r="DA178" i="1" s="1"/>
  <c r="DB178" i="1" a="1"/>
  <c r="DB178" i="1"/>
  <c r="DC178" i="1" a="1"/>
  <c r="DC178" i="1"/>
  <c r="DD178" i="1" a="1"/>
  <c r="DD178" i="1" s="1"/>
  <c r="DE178" i="1" a="1"/>
  <c r="DE178" i="1" s="1"/>
  <c r="CI179" i="1" a="1"/>
  <c r="CI179" i="1"/>
  <c r="CJ179" i="1" a="1"/>
  <c r="CJ179" i="1" s="1"/>
  <c r="CK179" i="1" a="1"/>
  <c r="CK179" i="1"/>
  <c r="CL179" i="1" a="1"/>
  <c r="CL179" i="1"/>
  <c r="CM179" i="1" a="1"/>
  <c r="CM179" i="1" s="1"/>
  <c r="CN179" i="1" a="1"/>
  <c r="CN179" i="1"/>
  <c r="CO179" i="1" a="1"/>
  <c r="CO179" i="1" s="1"/>
  <c r="CP179" i="1" a="1"/>
  <c r="CP179" i="1" s="1"/>
  <c r="CQ179" i="1" a="1"/>
  <c r="CQ179" i="1"/>
  <c r="CR179" i="1" a="1"/>
  <c r="CR179" i="1"/>
  <c r="CS179" i="1" a="1"/>
  <c r="CS179" i="1" s="1"/>
  <c r="CT179" i="1" a="1"/>
  <c r="CT179" i="1"/>
  <c r="CU179" i="1" a="1"/>
  <c r="CU179" i="1"/>
  <c r="CV179" i="1" a="1"/>
  <c r="CV179" i="1" s="1"/>
  <c r="CW179" i="1" a="1"/>
  <c r="CW179" i="1"/>
  <c r="CX179" i="1" a="1"/>
  <c r="CX179" i="1"/>
  <c r="CY179" i="1" a="1"/>
  <c r="CY179" i="1" s="1"/>
  <c r="CZ179" i="1" a="1"/>
  <c r="CZ179" i="1" s="1"/>
  <c r="DA179" i="1" a="1"/>
  <c r="DA179" i="1"/>
  <c r="DB179" i="1" a="1"/>
  <c r="DB179" i="1" s="1"/>
  <c r="DC179" i="1" a="1"/>
  <c r="DC179" i="1"/>
  <c r="DD179" i="1" a="1"/>
  <c r="DD179" i="1"/>
  <c r="DE179" i="1" a="1"/>
  <c r="DE179" i="1" s="1"/>
  <c r="CI180" i="1" a="1"/>
  <c r="CI180" i="1"/>
  <c r="CJ180" i="1" a="1"/>
  <c r="CJ180" i="1" s="1"/>
  <c r="CK180" i="1" a="1"/>
  <c r="CK180" i="1" s="1"/>
  <c r="CL180" i="1" a="1"/>
  <c r="CL180" i="1"/>
  <c r="CM180" i="1" a="1"/>
  <c r="CM180" i="1"/>
  <c r="CN180" i="1" a="1"/>
  <c r="CN180" i="1" s="1"/>
  <c r="CO180" i="1" a="1"/>
  <c r="CO180" i="1"/>
  <c r="CP180" i="1" a="1"/>
  <c r="CP180" i="1"/>
  <c r="CQ180" i="1" a="1"/>
  <c r="CQ180" i="1" s="1"/>
  <c r="CR180" i="1" a="1"/>
  <c r="CR180" i="1"/>
  <c r="CS180" i="1" a="1"/>
  <c r="CS180" i="1"/>
  <c r="CT180" i="1" a="1"/>
  <c r="CT180" i="1" s="1"/>
  <c r="CU180" i="1" a="1"/>
  <c r="CU180" i="1" s="1"/>
  <c r="CV180" i="1" a="1"/>
  <c r="CV180" i="1"/>
  <c r="CW180" i="1" a="1"/>
  <c r="CW180" i="1" s="1"/>
  <c r="CX180" i="1" a="1"/>
  <c r="CX180" i="1"/>
  <c r="CY180" i="1" a="1"/>
  <c r="CY180" i="1"/>
  <c r="CZ180" i="1" a="1"/>
  <c r="CZ180" i="1" s="1"/>
  <c r="DA180" i="1" a="1"/>
  <c r="DA180" i="1"/>
  <c r="DB180" i="1" a="1"/>
  <c r="DB180" i="1" s="1"/>
  <c r="DC180" i="1" a="1"/>
  <c r="DC180" i="1" s="1"/>
  <c r="DD180" i="1" a="1"/>
  <c r="DD180" i="1"/>
  <c r="DE180" i="1" a="1"/>
  <c r="DE180" i="1"/>
  <c r="CI181" i="1" a="1"/>
  <c r="CI181" i="1" s="1"/>
  <c r="CJ181" i="1" a="1"/>
  <c r="CJ181" i="1"/>
  <c r="CK181" i="1" a="1"/>
  <c r="CK181" i="1"/>
  <c r="CL181" i="1" a="1"/>
  <c r="CL181" i="1" s="1"/>
  <c r="CM181" i="1" a="1"/>
  <c r="CM181" i="1"/>
  <c r="CN181" i="1" a="1"/>
  <c r="CN181" i="1"/>
  <c r="CO181" i="1" a="1"/>
  <c r="CO181" i="1" s="1"/>
  <c r="CP181" i="1" a="1"/>
  <c r="CP181" i="1" s="1"/>
  <c r="CQ181" i="1" a="1"/>
  <c r="CQ181" i="1"/>
  <c r="CR181" i="1" a="1"/>
  <c r="CR181" i="1" s="1"/>
  <c r="CS181" i="1" a="1"/>
  <c r="CS181" i="1"/>
  <c r="CT181" i="1" a="1"/>
  <c r="CT181" i="1"/>
  <c r="CU181" i="1" a="1"/>
  <c r="CU181" i="1" s="1"/>
  <c r="CV181" i="1" a="1"/>
  <c r="CV181" i="1"/>
  <c r="CW181" i="1" a="1"/>
  <c r="CW181" i="1" s="1"/>
  <c r="CX181" i="1" a="1"/>
  <c r="CX181" i="1" s="1"/>
  <c r="CY181" i="1" a="1"/>
  <c r="CY181" i="1"/>
  <c r="CZ181" i="1" a="1"/>
  <c r="CZ181" i="1"/>
  <c r="DA181" i="1" a="1"/>
  <c r="DA181" i="1" s="1"/>
  <c r="DB181" i="1" a="1"/>
  <c r="DB181" i="1"/>
  <c r="DC181" i="1" a="1"/>
  <c r="DC181" i="1"/>
  <c r="DD181" i="1" a="1"/>
  <c r="DD181" i="1" s="1"/>
  <c r="DE181" i="1" a="1"/>
  <c r="DE181" i="1"/>
  <c r="CI182" i="1" a="1"/>
  <c r="CI182" i="1"/>
  <c r="CJ182" i="1" a="1"/>
  <c r="CJ182" i="1" s="1"/>
  <c r="CK182" i="1" a="1"/>
  <c r="CK182" i="1" s="1"/>
  <c r="CL182" i="1" a="1"/>
  <c r="CL182" i="1"/>
  <c r="CM182" i="1" a="1"/>
  <c r="CM182" i="1" s="1"/>
  <c r="CN182" i="1" a="1"/>
  <c r="CN182" i="1"/>
  <c r="CO182" i="1" a="1"/>
  <c r="CO182" i="1"/>
  <c r="CP182" i="1" a="1"/>
  <c r="CP182" i="1" s="1"/>
  <c r="CQ182" i="1" a="1"/>
  <c r="CQ182" i="1"/>
  <c r="CR182" i="1" a="1"/>
  <c r="CR182" i="1" s="1"/>
  <c r="CS182" i="1" a="1"/>
  <c r="CS182" i="1" s="1"/>
  <c r="CT182" i="1" a="1"/>
  <c r="CT182" i="1"/>
  <c r="CU182" i="1" a="1"/>
  <c r="CU182" i="1"/>
  <c r="CV182" i="1" a="1"/>
  <c r="CV182" i="1" s="1"/>
  <c r="CW182" i="1" a="1"/>
  <c r="CW182" i="1"/>
  <c r="CX182" i="1" a="1"/>
  <c r="CX182" i="1"/>
  <c r="CY182" i="1" a="1"/>
  <c r="CY182" i="1" s="1"/>
  <c r="CZ182" i="1" a="1"/>
  <c r="CZ182" i="1"/>
  <c r="DA182" i="1" a="1"/>
  <c r="DA182" i="1"/>
  <c r="DB182" i="1" a="1"/>
  <c r="DB182" i="1" s="1"/>
  <c r="DC182" i="1" a="1"/>
  <c r="DC182" i="1" s="1"/>
  <c r="DD182" i="1" a="1"/>
  <c r="DD182" i="1"/>
  <c r="DE182" i="1" a="1"/>
  <c r="DE182" i="1" s="1"/>
  <c r="CI183" i="1" a="1"/>
  <c r="CI183" i="1"/>
  <c r="CJ183" i="1" a="1"/>
  <c r="CJ183" i="1"/>
  <c r="CK183" i="1" a="1"/>
  <c r="CK183" i="1" s="1"/>
  <c r="CL183" i="1" a="1"/>
  <c r="CL183" i="1"/>
  <c r="CM183" i="1" a="1"/>
  <c r="CM183" i="1" s="1"/>
  <c r="CN183" i="1" a="1"/>
  <c r="CN183" i="1" s="1"/>
  <c r="CO183" i="1" a="1"/>
  <c r="CO183" i="1"/>
  <c r="CP183" i="1" a="1"/>
  <c r="CP183" i="1"/>
  <c r="CQ183" i="1" a="1"/>
  <c r="CQ183" i="1" s="1"/>
  <c r="CR183" i="1" a="1"/>
  <c r="CR183" i="1"/>
  <c r="CS183" i="1" a="1"/>
  <c r="CS183" i="1"/>
  <c r="CT183" i="1" a="1"/>
  <c r="CT183" i="1" s="1"/>
  <c r="CU183" i="1" a="1"/>
  <c r="CU183" i="1"/>
  <c r="CV183" i="1" a="1"/>
  <c r="CV183" i="1"/>
  <c r="CW183" i="1" a="1"/>
  <c r="CW183" i="1" s="1"/>
  <c r="CX183" i="1" a="1"/>
  <c r="CX183" i="1" s="1"/>
  <c r="CY183" i="1" a="1"/>
  <c r="CY183" i="1"/>
  <c r="CZ183" i="1" a="1"/>
  <c r="CZ183" i="1" s="1"/>
  <c r="DA183" i="1" a="1"/>
  <c r="DA183" i="1"/>
  <c r="DB183" i="1" a="1"/>
  <c r="DB183" i="1"/>
  <c r="DC183" i="1" a="1"/>
  <c r="DC183" i="1" s="1"/>
  <c r="DD183" i="1" a="1"/>
  <c r="DD183" i="1"/>
  <c r="DE183" i="1" a="1"/>
  <c r="DE183" i="1" s="1"/>
  <c r="CI184" i="1" a="1"/>
  <c r="CI184" i="1" s="1"/>
  <c r="CJ184" i="1" a="1"/>
  <c r="CJ184" i="1"/>
  <c r="CK184" i="1" a="1"/>
  <c r="CK184" i="1"/>
  <c r="CL184" i="1" a="1"/>
  <c r="CL184" i="1" s="1"/>
  <c r="CM184" i="1" a="1"/>
  <c r="CM184" i="1"/>
  <c r="CN184" i="1" a="1"/>
  <c r="CN184" i="1"/>
  <c r="CO184" i="1" a="1"/>
  <c r="CO184" i="1" s="1"/>
  <c r="CP184" i="1" a="1"/>
  <c r="CP184" i="1"/>
  <c r="CQ184" i="1" a="1"/>
  <c r="CQ184" i="1"/>
  <c r="CR184" i="1" a="1"/>
  <c r="CR184" i="1" s="1"/>
  <c r="CS184" i="1" a="1"/>
  <c r="CS184" i="1" s="1"/>
  <c r="CT184" i="1" a="1"/>
  <c r="CT184" i="1"/>
  <c r="CU184" i="1" a="1"/>
  <c r="CU184" i="1" s="1"/>
  <c r="CV184" i="1" a="1"/>
  <c r="CV184" i="1"/>
  <c r="CW184" i="1" a="1"/>
  <c r="CW184" i="1"/>
  <c r="CX184" i="1" a="1"/>
  <c r="CX184" i="1" s="1"/>
  <c r="CY184" i="1" a="1"/>
  <c r="CY184" i="1"/>
  <c r="CZ184" i="1" a="1"/>
  <c r="CZ184" i="1" s="1"/>
  <c r="DA184" i="1" a="1"/>
  <c r="DA184" i="1" s="1"/>
  <c r="DB184" i="1" a="1"/>
  <c r="DB184" i="1"/>
  <c r="DC184" i="1" a="1"/>
  <c r="DC184" i="1"/>
  <c r="DD184" i="1" a="1"/>
  <c r="DD184" i="1" s="1"/>
  <c r="DE184" i="1" a="1"/>
  <c r="DE184" i="1"/>
  <c r="CI185" i="1" a="1"/>
  <c r="CI185" i="1"/>
  <c r="CJ185" i="1" a="1"/>
  <c r="CJ185" i="1" s="1"/>
  <c r="CK185" i="1" a="1"/>
  <c r="CK185" i="1"/>
  <c r="CL185" i="1" a="1"/>
  <c r="CL185" i="1"/>
  <c r="CM185" i="1" a="1"/>
  <c r="CM185" i="1" s="1"/>
  <c r="CN185" i="1" a="1"/>
  <c r="CN185" i="1" s="1"/>
  <c r="CO185" i="1" a="1"/>
  <c r="CO185" i="1"/>
  <c r="CP185" i="1" a="1"/>
  <c r="CP185" i="1" s="1"/>
  <c r="CQ185" i="1" a="1"/>
  <c r="CQ185" i="1"/>
  <c r="CR185" i="1" a="1"/>
  <c r="CR185" i="1"/>
  <c r="CS185" i="1" a="1"/>
  <c r="CS185" i="1" s="1"/>
  <c r="CT185" i="1" a="1"/>
  <c r="CT185" i="1"/>
  <c r="CU185" i="1" a="1"/>
  <c r="CU185" i="1" s="1"/>
  <c r="CV185" i="1" a="1"/>
  <c r="CV185" i="1" s="1"/>
  <c r="CW185" i="1" a="1"/>
  <c r="CW185" i="1"/>
  <c r="CX185" i="1" a="1"/>
  <c r="CX185" i="1"/>
  <c r="CY185" i="1" a="1"/>
  <c r="CY185" i="1" s="1"/>
  <c r="CZ185" i="1" a="1"/>
  <c r="CZ185" i="1"/>
  <c r="DA185" i="1" a="1"/>
  <c r="DA185" i="1"/>
  <c r="DB185" i="1" a="1"/>
  <c r="DB185" i="1" s="1"/>
  <c r="DC185" i="1" a="1"/>
  <c r="DC185" i="1"/>
  <c r="DD185" i="1" a="1"/>
  <c r="DD185" i="1"/>
  <c r="DE185" i="1" a="1"/>
  <c r="DE185" i="1" s="1"/>
  <c r="CI186" i="1" a="1"/>
  <c r="CI186" i="1" s="1"/>
  <c r="CJ186" i="1" a="1"/>
  <c r="CJ186" i="1"/>
  <c r="CK186" i="1" a="1"/>
  <c r="CK186" i="1" s="1"/>
  <c r="CL186" i="1" a="1"/>
  <c r="CL186" i="1"/>
  <c r="CM186" i="1" a="1"/>
  <c r="CM186" i="1"/>
  <c r="CN186" i="1" a="1"/>
  <c r="CN186" i="1" s="1"/>
  <c r="CO186" i="1" a="1"/>
  <c r="CO186" i="1"/>
  <c r="CP186" i="1" a="1"/>
  <c r="CP186" i="1" s="1"/>
  <c r="CQ186" i="1" a="1"/>
  <c r="CQ186" i="1" s="1"/>
  <c r="CR186" i="1" a="1"/>
  <c r="CR186" i="1"/>
  <c r="CS186" i="1" a="1"/>
  <c r="CS186" i="1"/>
  <c r="CT186" i="1" a="1"/>
  <c r="CT186" i="1" s="1"/>
  <c r="CU186" i="1" a="1"/>
  <c r="CU186" i="1"/>
  <c r="CV186" i="1" a="1"/>
  <c r="CV186" i="1"/>
  <c r="CW186" i="1" a="1"/>
  <c r="CW186" i="1" s="1"/>
  <c r="CX186" i="1" a="1"/>
  <c r="CX186" i="1"/>
  <c r="CY186" i="1" a="1"/>
  <c r="CY186" i="1"/>
  <c r="CZ186" i="1" a="1"/>
  <c r="CZ186" i="1" s="1"/>
  <c r="DA186" i="1" a="1"/>
  <c r="DA186" i="1" s="1"/>
  <c r="DB186" i="1" a="1"/>
  <c r="DB186" i="1"/>
  <c r="DC186" i="1" a="1"/>
  <c r="DC186" i="1" s="1"/>
  <c r="DD186" i="1" a="1"/>
  <c r="DD186" i="1"/>
  <c r="DE186" i="1" a="1"/>
  <c r="DE186" i="1"/>
  <c r="CI187" i="1" a="1"/>
  <c r="CI187" i="1" s="1"/>
  <c r="CJ187" i="1" a="1"/>
  <c r="CJ187" i="1"/>
  <c r="CK187" i="1" a="1"/>
  <c r="CK187" i="1" s="1"/>
  <c r="CL187" i="1" a="1"/>
  <c r="CL187" i="1" s="1"/>
  <c r="CM187" i="1" a="1"/>
  <c r="CM187" i="1"/>
  <c r="CN187" i="1" a="1"/>
  <c r="CN187" i="1"/>
  <c r="CO187" i="1" a="1"/>
  <c r="CO187" i="1" s="1"/>
  <c r="CP187" i="1" a="1"/>
  <c r="CP187" i="1"/>
  <c r="CQ187" i="1" a="1"/>
  <c r="CQ187" i="1"/>
  <c r="CR187" i="1" a="1"/>
  <c r="CR187" i="1" s="1"/>
  <c r="CS187" i="1" a="1"/>
  <c r="CS187" i="1"/>
  <c r="CT187" i="1" a="1"/>
  <c r="CT187" i="1"/>
  <c r="CU187" i="1" a="1"/>
  <c r="CU187" i="1" s="1"/>
  <c r="CV187" i="1" a="1"/>
  <c r="CV187" i="1" s="1"/>
  <c r="CW187" i="1" a="1"/>
  <c r="CW187" i="1"/>
  <c r="CX187" i="1" a="1"/>
  <c r="CX187" i="1" s="1"/>
  <c r="CY187" i="1" a="1"/>
  <c r="CY187" i="1"/>
  <c r="CZ187" i="1" a="1"/>
  <c r="CZ187" i="1"/>
  <c r="DA187" i="1" a="1"/>
  <c r="DA187" i="1" s="1"/>
  <c r="DB187" i="1" a="1"/>
  <c r="DB187" i="1"/>
  <c r="DC187" i="1" a="1"/>
  <c r="DC187" i="1" s="1"/>
  <c r="DD187" i="1" a="1"/>
  <c r="DD187" i="1" s="1"/>
  <c r="DE187" i="1" a="1"/>
  <c r="DE187" i="1"/>
  <c r="CI188" i="1" a="1"/>
  <c r="CI188" i="1"/>
  <c r="CJ188" i="1" a="1"/>
  <c r="CJ188" i="1" s="1"/>
  <c r="CK188" i="1" a="1"/>
  <c r="CK188" i="1"/>
  <c r="CL188" i="1" a="1"/>
  <c r="CL188" i="1"/>
  <c r="CM188" i="1" a="1"/>
  <c r="CM188" i="1" s="1"/>
  <c r="CN188" i="1" a="1"/>
  <c r="CN188" i="1"/>
  <c r="CO188" i="1" a="1"/>
  <c r="CO188" i="1"/>
  <c r="CP188" i="1" a="1"/>
  <c r="CP188" i="1" s="1"/>
  <c r="CQ188" i="1" a="1"/>
  <c r="CQ188" i="1" s="1"/>
  <c r="CR188" i="1" a="1"/>
  <c r="CR188" i="1"/>
  <c r="CS188" i="1" a="1"/>
  <c r="CS188" i="1" s="1"/>
  <c r="CT188" i="1" a="1"/>
  <c r="CT188" i="1"/>
  <c r="CU188" i="1" a="1"/>
  <c r="CU188" i="1"/>
  <c r="CV188" i="1" a="1"/>
  <c r="CV188" i="1" s="1"/>
  <c r="CW188" i="1" a="1"/>
  <c r="CW188" i="1"/>
  <c r="CX188" i="1" a="1"/>
  <c r="CX188" i="1" s="1"/>
  <c r="CY188" i="1" a="1"/>
  <c r="CY188" i="1" s="1"/>
  <c r="CZ188" i="1" a="1"/>
  <c r="CZ188" i="1"/>
  <c r="DA188" i="1" a="1"/>
  <c r="DA188" i="1"/>
  <c r="DB188" i="1" a="1"/>
  <c r="DB188" i="1" s="1"/>
  <c r="DC188" i="1" a="1"/>
  <c r="DC188" i="1"/>
  <c r="DD188" i="1" a="1"/>
  <c r="DD188" i="1"/>
  <c r="DE188" i="1" a="1"/>
  <c r="DE188" i="1" s="1"/>
  <c r="CI189" i="1" a="1"/>
  <c r="CI189" i="1"/>
  <c r="CJ189" i="1" a="1"/>
  <c r="CJ189" i="1"/>
  <c r="CK189" i="1" a="1"/>
  <c r="CK189" i="1" s="1"/>
  <c r="CL189" i="1" a="1"/>
  <c r="CL189" i="1" s="1"/>
  <c r="CM189" i="1" a="1"/>
  <c r="CM189" i="1"/>
  <c r="CN189" i="1" a="1"/>
  <c r="CN189" i="1" s="1"/>
  <c r="CO189" i="1" a="1"/>
  <c r="CO189" i="1"/>
  <c r="CP189" i="1" a="1"/>
  <c r="CP189" i="1"/>
  <c r="CQ189" i="1" a="1"/>
  <c r="CQ189" i="1" s="1"/>
  <c r="CR189" i="1" a="1"/>
  <c r="CR189" i="1"/>
  <c r="CS189" i="1" a="1"/>
  <c r="CS189" i="1" s="1"/>
  <c r="CT189" i="1" a="1"/>
  <c r="CT189" i="1" s="1"/>
  <c r="CU189" i="1" a="1"/>
  <c r="CU189" i="1"/>
  <c r="CV189" i="1" a="1"/>
  <c r="CV189" i="1"/>
  <c r="CW189" i="1" a="1"/>
  <c r="CW189" i="1" s="1"/>
  <c r="CX189" i="1" a="1"/>
  <c r="CX189" i="1"/>
  <c r="CY189" i="1" a="1"/>
  <c r="CY189" i="1"/>
  <c r="CZ189" i="1" a="1"/>
  <c r="CZ189" i="1" s="1"/>
  <c r="DA189" i="1" a="1"/>
  <c r="DA189" i="1"/>
  <c r="DB189" i="1" a="1"/>
  <c r="DB189" i="1"/>
  <c r="DC189" i="1" a="1"/>
  <c r="DC189" i="1" s="1"/>
  <c r="DD189" i="1" a="1"/>
  <c r="DD189" i="1" s="1"/>
  <c r="DE189" i="1" a="1"/>
  <c r="DE189" i="1"/>
  <c r="CI190" i="1" a="1"/>
  <c r="CI190" i="1" s="1"/>
  <c r="CJ190" i="1" a="1"/>
  <c r="CJ190" i="1"/>
  <c r="CK190" i="1" a="1"/>
  <c r="CK190" i="1"/>
  <c r="CL190" i="1" a="1"/>
  <c r="CL190" i="1"/>
  <c r="CM190" i="1" a="1"/>
  <c r="CM190" i="1"/>
  <c r="CN190" i="1" a="1"/>
  <c r="CN190" i="1"/>
  <c r="CO190" i="1" a="1"/>
  <c r="CO190" i="1"/>
  <c r="CP190" i="1" a="1"/>
  <c r="CP190" i="1"/>
  <c r="CQ190" i="1" a="1"/>
  <c r="CQ190" i="1"/>
  <c r="CR190" i="1" a="1"/>
  <c r="CR190" i="1"/>
  <c r="CS190" i="1" a="1"/>
  <c r="CS190" i="1"/>
  <c r="CT190" i="1" a="1"/>
  <c r="CT190" i="1"/>
  <c r="CU190" i="1" a="1"/>
  <c r="CU190" i="1"/>
  <c r="CV190" i="1" a="1"/>
  <c r="CV190" i="1"/>
  <c r="CW190" i="1" a="1"/>
  <c r="CW190" i="1"/>
  <c r="CX190" i="1" a="1"/>
  <c r="CX190" i="1"/>
  <c r="CY190" i="1" a="1"/>
  <c r="CY190" i="1"/>
  <c r="CZ190" i="1" a="1"/>
  <c r="CZ190" i="1"/>
  <c r="DA190" i="1" a="1"/>
  <c r="DA190" i="1"/>
  <c r="DB190" i="1" a="1"/>
  <c r="DB190" i="1"/>
  <c r="DC190" i="1" a="1"/>
  <c r="DC190" i="1"/>
  <c r="DD190" i="1" a="1"/>
  <c r="DD190" i="1"/>
  <c r="DE190" i="1" a="1"/>
  <c r="DE190" i="1"/>
  <c r="CI191" i="1" a="1"/>
  <c r="CI191" i="1"/>
  <c r="CJ191" i="1" a="1"/>
  <c r="CJ191" i="1"/>
  <c r="CK191" i="1" a="1"/>
  <c r="CK191" i="1"/>
  <c r="CL191" i="1" a="1"/>
  <c r="CL191" i="1"/>
  <c r="CM191" i="1" a="1"/>
  <c r="CM191" i="1"/>
  <c r="CN191" i="1" a="1"/>
  <c r="CN191" i="1"/>
  <c r="CO191" i="1" a="1"/>
  <c r="CO191" i="1"/>
  <c r="CP191" i="1" a="1"/>
  <c r="CP191" i="1"/>
  <c r="CQ191" i="1" a="1"/>
  <c r="CQ191" i="1"/>
  <c r="CR191" i="1" a="1"/>
  <c r="CR191" i="1"/>
  <c r="CS191" i="1" a="1"/>
  <c r="CS191" i="1"/>
  <c r="CT191" i="1" a="1"/>
  <c r="CT191" i="1"/>
  <c r="CU191" i="1" a="1"/>
  <c r="CU191" i="1"/>
  <c r="CV191" i="1" a="1"/>
  <c r="CV191" i="1"/>
  <c r="CW191" i="1" a="1"/>
  <c r="CW191" i="1"/>
  <c r="CX191" i="1" a="1"/>
  <c r="CX191" i="1"/>
  <c r="CY191" i="1" a="1"/>
  <c r="CY191" i="1"/>
  <c r="CZ191" i="1" a="1"/>
  <c r="CZ191" i="1"/>
  <c r="DA191" i="1" a="1"/>
  <c r="DA191" i="1"/>
  <c r="DB191" i="1" a="1"/>
  <c r="DB191" i="1"/>
  <c r="DC191" i="1" a="1"/>
  <c r="DC191" i="1"/>
  <c r="DD191" i="1" a="1"/>
  <c r="DD191" i="1"/>
  <c r="DE191" i="1" a="1"/>
  <c r="DE191" i="1"/>
  <c r="CI192" i="1" a="1"/>
  <c r="CI192" i="1"/>
  <c r="CJ192" i="1" a="1"/>
  <c r="CJ192" i="1"/>
  <c r="CK192" i="1" a="1"/>
  <c r="CK192" i="1"/>
  <c r="CL192" i="1" a="1"/>
  <c r="CL192" i="1"/>
  <c r="CM192" i="1" a="1"/>
  <c r="CM192" i="1"/>
  <c r="CN192" i="1" a="1"/>
  <c r="CN192" i="1"/>
  <c r="CO192" i="1" a="1"/>
  <c r="CO192" i="1"/>
  <c r="CP192" i="1" a="1"/>
  <c r="CP192" i="1"/>
  <c r="CQ192" i="1" a="1"/>
  <c r="CQ192" i="1"/>
  <c r="CR192" i="1" a="1"/>
  <c r="CR192" i="1"/>
  <c r="CS192" i="1" a="1"/>
  <c r="CS192" i="1"/>
  <c r="CT192" i="1" a="1"/>
  <c r="CT192" i="1"/>
  <c r="CU192" i="1" a="1"/>
  <c r="CU192" i="1"/>
  <c r="CV192" i="1" a="1"/>
  <c r="CV192" i="1"/>
  <c r="CW192" i="1" a="1"/>
  <c r="CW192" i="1"/>
  <c r="CX192" i="1" a="1"/>
  <c r="CX192" i="1"/>
  <c r="CY192" i="1" a="1"/>
  <c r="CY192" i="1"/>
  <c r="CZ192" i="1" a="1"/>
  <c r="CZ192" i="1"/>
  <c r="DA192" i="1" a="1"/>
  <c r="DA192" i="1"/>
  <c r="DB192" i="1" a="1"/>
  <c r="DB192" i="1"/>
  <c r="DC192" i="1" a="1"/>
  <c r="DC192" i="1"/>
  <c r="DD192" i="1" a="1"/>
  <c r="DD192" i="1"/>
  <c r="DE192" i="1" a="1"/>
  <c r="DE192" i="1"/>
  <c r="CI193" i="1" a="1"/>
  <c r="CI193" i="1"/>
  <c r="CJ193" i="1" a="1"/>
  <c r="CJ193" i="1"/>
  <c r="CK193" i="1" a="1"/>
  <c r="CK193" i="1"/>
  <c r="CL193" i="1" a="1"/>
  <c r="CL193" i="1"/>
  <c r="CM193" i="1" a="1"/>
  <c r="CM193" i="1"/>
  <c r="CN193" i="1" a="1"/>
  <c r="CN193" i="1"/>
  <c r="CO193" i="1" a="1"/>
  <c r="CO193" i="1"/>
  <c r="CP193" i="1" a="1"/>
  <c r="CP193" i="1"/>
  <c r="CQ193" i="1" a="1"/>
  <c r="CQ193" i="1"/>
  <c r="CR193" i="1" a="1"/>
  <c r="CR193" i="1"/>
  <c r="CS193" i="1" a="1"/>
  <c r="CS193" i="1"/>
  <c r="CT193" i="1" a="1"/>
  <c r="CT193" i="1"/>
  <c r="CU193" i="1" a="1"/>
  <c r="CU193" i="1"/>
  <c r="CV193" i="1" a="1"/>
  <c r="CV193" i="1"/>
  <c r="CW193" i="1" a="1"/>
  <c r="CW193" i="1"/>
  <c r="CX193" i="1" a="1"/>
  <c r="CX193" i="1"/>
  <c r="CY193" i="1" a="1"/>
  <c r="CY193" i="1"/>
  <c r="CZ193" i="1" a="1"/>
  <c r="CZ193" i="1"/>
  <c r="DA193" i="1" a="1"/>
  <c r="DA193" i="1"/>
  <c r="DB193" i="1" a="1"/>
  <c r="DB193" i="1"/>
  <c r="DC193" i="1" a="1"/>
  <c r="DC193" i="1"/>
  <c r="DD193" i="1" a="1"/>
  <c r="DD193" i="1"/>
  <c r="DE193" i="1" a="1"/>
  <c r="DE193" i="1"/>
  <c r="CI194" i="1" a="1"/>
  <c r="CI194" i="1"/>
  <c r="CJ194" i="1" a="1"/>
  <c r="CJ194" i="1"/>
  <c r="CK194" i="1" a="1"/>
  <c r="CK194" i="1"/>
  <c r="CL194" i="1" a="1"/>
  <c r="CL194" i="1"/>
  <c r="CM194" i="1" a="1"/>
  <c r="CM194" i="1"/>
  <c r="CN194" i="1" a="1"/>
  <c r="CN194" i="1"/>
  <c r="CO194" i="1" a="1"/>
  <c r="CO194" i="1"/>
  <c r="CP194" i="1" a="1"/>
  <c r="CP194" i="1"/>
  <c r="CQ194" i="1" a="1"/>
  <c r="CQ194" i="1"/>
  <c r="CR194" i="1" a="1"/>
  <c r="CR194" i="1"/>
  <c r="CS194" i="1" a="1"/>
  <c r="CS194" i="1"/>
  <c r="CT194" i="1" a="1"/>
  <c r="CT194" i="1"/>
  <c r="CU194" i="1" a="1"/>
  <c r="CU194" i="1"/>
  <c r="CV194" i="1" a="1"/>
  <c r="CV194" i="1"/>
  <c r="CW194" i="1" a="1"/>
  <c r="CW194" i="1"/>
  <c r="CX194" i="1" a="1"/>
  <c r="CX194" i="1"/>
  <c r="CY194" i="1" a="1"/>
  <c r="CY194" i="1"/>
  <c r="CZ194" i="1" a="1"/>
  <c r="CZ194" i="1"/>
  <c r="DA194" i="1" a="1"/>
  <c r="DA194" i="1"/>
  <c r="DB194" i="1" a="1"/>
  <c r="DB194" i="1"/>
  <c r="DC194" i="1" a="1"/>
  <c r="DC194" i="1"/>
  <c r="DD194" i="1" a="1"/>
  <c r="DD194" i="1"/>
  <c r="DE194" i="1" a="1"/>
  <c r="DE194" i="1"/>
  <c r="CI195" i="1" a="1"/>
  <c r="CI195" i="1"/>
  <c r="CJ195" i="1" a="1"/>
  <c r="CJ195" i="1"/>
  <c r="CK195" i="1" a="1"/>
  <c r="CK195" i="1"/>
  <c r="CL195" i="1" a="1"/>
  <c r="CL195" i="1"/>
  <c r="CM195" i="1" a="1"/>
  <c r="CM195" i="1"/>
  <c r="CN195" i="1" a="1"/>
  <c r="CN195" i="1"/>
  <c r="CO195" i="1" a="1"/>
  <c r="CO195" i="1"/>
  <c r="CP195" i="1" a="1"/>
  <c r="CP195" i="1"/>
  <c r="CQ195" i="1" a="1"/>
  <c r="CQ195" i="1"/>
  <c r="CR195" i="1" a="1"/>
  <c r="CR195" i="1"/>
  <c r="CS195" i="1" a="1"/>
  <c r="CS195" i="1"/>
  <c r="CT195" i="1" a="1"/>
  <c r="CT195" i="1"/>
  <c r="CU195" i="1" a="1"/>
  <c r="CU195" i="1"/>
  <c r="CV195" i="1" a="1"/>
  <c r="CV195" i="1"/>
  <c r="CW195" i="1" a="1"/>
  <c r="CW195" i="1"/>
  <c r="CX195" i="1" a="1"/>
  <c r="CX195" i="1"/>
  <c r="CY195" i="1" a="1"/>
  <c r="CY195" i="1"/>
  <c r="CZ195" i="1" a="1"/>
  <c r="CZ195" i="1"/>
  <c r="DA195" i="1" a="1"/>
  <c r="DA195" i="1"/>
  <c r="DB195" i="1" a="1"/>
  <c r="DB195" i="1" s="1"/>
  <c r="DC195" i="1" a="1"/>
  <c r="DC195" i="1"/>
  <c r="DD195" i="1" a="1"/>
  <c r="DD195" i="1"/>
  <c r="DE195" i="1" a="1"/>
  <c r="DE195" i="1" s="1"/>
  <c r="CI196" i="1" a="1"/>
  <c r="CI196" i="1"/>
  <c r="CJ196" i="1" a="1"/>
  <c r="CJ196" i="1"/>
  <c r="CK196" i="1" a="1"/>
  <c r="CK196" i="1" s="1"/>
  <c r="CL196" i="1" a="1"/>
  <c r="CL196" i="1"/>
  <c r="CM196" i="1" a="1"/>
  <c r="CM196" i="1"/>
  <c r="CN196" i="1" a="1"/>
  <c r="CN196" i="1" s="1"/>
  <c r="CO196" i="1" a="1"/>
  <c r="CO196" i="1"/>
  <c r="CP196" i="1" a="1"/>
  <c r="CP196" i="1"/>
  <c r="CQ196" i="1" a="1"/>
  <c r="CQ196" i="1" s="1"/>
  <c r="CR196" i="1" a="1"/>
  <c r="CR196" i="1"/>
  <c r="CS196" i="1" a="1"/>
  <c r="CS196" i="1"/>
  <c r="CT196" i="1" a="1"/>
  <c r="CT196" i="1" s="1"/>
  <c r="CU196" i="1" a="1"/>
  <c r="CU196" i="1"/>
  <c r="CV196" i="1" a="1"/>
  <c r="CV196" i="1"/>
  <c r="CW196" i="1" a="1"/>
  <c r="CW196" i="1" s="1"/>
  <c r="CX196" i="1" a="1"/>
  <c r="CX196" i="1"/>
  <c r="CY196" i="1" a="1"/>
  <c r="CY196" i="1"/>
  <c r="CZ196" i="1" a="1"/>
  <c r="CZ196" i="1" s="1"/>
  <c r="DA196" i="1" a="1"/>
  <c r="DA196" i="1"/>
  <c r="DB196" i="1" a="1"/>
  <c r="DB196" i="1"/>
  <c r="DC196" i="1" a="1"/>
  <c r="DC196" i="1" s="1"/>
  <c r="DD196" i="1" a="1"/>
  <c r="DD196" i="1"/>
  <c r="DE196" i="1" a="1"/>
  <c r="DE196" i="1"/>
  <c r="CI197" i="1" a="1"/>
  <c r="CI197" i="1" s="1"/>
  <c r="CJ197" i="1" a="1"/>
  <c r="CJ197" i="1"/>
  <c r="CK197" i="1" a="1"/>
  <c r="CK197" i="1"/>
  <c r="CL197" i="1" a="1"/>
  <c r="CL197" i="1" s="1"/>
  <c r="CM197" i="1" a="1"/>
  <c r="CM197" i="1"/>
  <c r="CN197" i="1" a="1"/>
  <c r="CN197" i="1"/>
  <c r="CO197" i="1" a="1"/>
  <c r="CO197" i="1" s="1"/>
  <c r="CP197" i="1" a="1"/>
  <c r="CP197" i="1"/>
  <c r="CQ197" i="1" a="1"/>
  <c r="CQ197" i="1"/>
  <c r="CR197" i="1" a="1"/>
  <c r="CR197" i="1" s="1"/>
  <c r="CS197" i="1" a="1"/>
  <c r="CS197" i="1"/>
  <c r="CT197" i="1" a="1"/>
  <c r="CT197" i="1"/>
  <c r="CU197" i="1" a="1"/>
  <c r="CU197" i="1" s="1"/>
  <c r="CV197" i="1" a="1"/>
  <c r="CV197" i="1"/>
  <c r="CW197" i="1" a="1"/>
  <c r="CW197" i="1"/>
  <c r="CX197" i="1" a="1"/>
  <c r="CX197" i="1" s="1"/>
  <c r="CY197" i="1" a="1"/>
  <c r="CY197" i="1"/>
  <c r="CZ197" i="1" a="1"/>
  <c r="CZ197" i="1"/>
  <c r="DA197" i="1" a="1"/>
  <c r="DA197" i="1" s="1"/>
  <c r="DB197" i="1" a="1"/>
  <c r="DB197" i="1"/>
  <c r="DC197" i="1" a="1"/>
  <c r="DC197" i="1"/>
  <c r="DD197" i="1" a="1"/>
  <c r="DD197" i="1" s="1"/>
  <c r="DE197" i="1" a="1"/>
  <c r="DE197" i="1"/>
  <c r="CI198" i="1" a="1"/>
  <c r="CI198" i="1"/>
  <c r="CJ198" i="1" a="1"/>
  <c r="CJ198" i="1" s="1"/>
  <c r="CK198" i="1" a="1"/>
  <c r="CK198" i="1"/>
  <c r="CL198" i="1" a="1"/>
  <c r="CL198" i="1"/>
  <c r="CM198" i="1" a="1"/>
  <c r="CM198" i="1" s="1"/>
  <c r="CN198" i="1" a="1"/>
  <c r="CN198" i="1"/>
  <c r="CO198" i="1" a="1"/>
  <c r="CO198" i="1"/>
  <c r="CP198" i="1" a="1"/>
  <c r="CP198" i="1" s="1"/>
  <c r="CQ198" i="1" a="1"/>
  <c r="CQ198" i="1"/>
  <c r="CR198" i="1" a="1"/>
  <c r="CR198" i="1"/>
  <c r="CS198" i="1" a="1"/>
  <c r="CS198" i="1" s="1"/>
  <c r="CT198" i="1" a="1"/>
  <c r="CT198" i="1"/>
  <c r="CU198" i="1" a="1"/>
  <c r="CU198" i="1"/>
  <c r="CV198" i="1" a="1"/>
  <c r="CV198" i="1" s="1"/>
  <c r="CW198" i="1" a="1"/>
  <c r="CW198" i="1"/>
  <c r="CX198" i="1" a="1"/>
  <c r="CX198" i="1"/>
  <c r="CY198" i="1" a="1"/>
  <c r="CY198" i="1" s="1"/>
  <c r="CZ198" i="1" a="1"/>
  <c r="CZ198" i="1"/>
  <c r="DA198" i="1" a="1"/>
  <c r="DA198" i="1"/>
  <c r="DB198" i="1" a="1"/>
  <c r="DB198" i="1" s="1"/>
  <c r="DC198" i="1" a="1"/>
  <c r="DC198" i="1"/>
  <c r="DD198" i="1" a="1"/>
  <c r="DD198" i="1"/>
  <c r="DE198" i="1" a="1"/>
  <c r="DE198" i="1" s="1"/>
  <c r="CI199" i="1" a="1"/>
  <c r="CI199" i="1"/>
  <c r="CJ199" i="1" a="1"/>
  <c r="CJ199" i="1"/>
  <c r="CK199" i="1" a="1"/>
  <c r="CK199" i="1" s="1"/>
  <c r="CL199" i="1" a="1"/>
  <c r="CL199" i="1"/>
  <c r="CM199" i="1" a="1"/>
  <c r="CM199" i="1"/>
  <c r="CN199" i="1" a="1"/>
  <c r="CN199" i="1" s="1"/>
  <c r="CO199" i="1" a="1"/>
  <c r="CO199" i="1"/>
  <c r="CP199" i="1" a="1"/>
  <c r="CP199" i="1"/>
  <c r="CQ199" i="1" a="1"/>
  <c r="CQ199" i="1" s="1"/>
  <c r="CR199" i="1" a="1"/>
  <c r="CR199" i="1"/>
  <c r="CS199" i="1" a="1"/>
  <c r="CS199" i="1"/>
  <c r="CT199" i="1" a="1"/>
  <c r="CT199" i="1" s="1"/>
  <c r="CU199" i="1" a="1"/>
  <c r="CU199" i="1"/>
  <c r="CV199" i="1" a="1"/>
  <c r="CV199" i="1"/>
  <c r="CW199" i="1" a="1"/>
  <c r="CW199" i="1" s="1"/>
  <c r="CX199" i="1" a="1"/>
  <c r="CX199" i="1"/>
  <c r="CY199" i="1" a="1"/>
  <c r="CY199" i="1"/>
  <c r="CZ199" i="1" a="1"/>
  <c r="CZ199" i="1" s="1"/>
  <c r="DA199" i="1" a="1"/>
  <c r="DA199" i="1"/>
  <c r="DB199" i="1" a="1"/>
  <c r="DB199" i="1"/>
  <c r="DC199" i="1" a="1"/>
  <c r="DC199" i="1" s="1"/>
  <c r="DD199" i="1" a="1"/>
  <c r="DD199" i="1"/>
  <c r="DE199" i="1" a="1"/>
  <c r="DE199" i="1"/>
  <c r="CI200" i="1" a="1"/>
  <c r="CI200" i="1" s="1"/>
  <c r="CJ200" i="1" a="1"/>
  <c r="CJ200" i="1"/>
  <c r="CK200" i="1" a="1"/>
  <c r="CK200" i="1"/>
  <c r="CL200" i="1" a="1"/>
  <c r="CL200" i="1" s="1"/>
  <c r="CM200" i="1" a="1"/>
  <c r="CM200" i="1"/>
  <c r="CN200" i="1" a="1"/>
  <c r="CN200" i="1"/>
  <c r="CO200" i="1" a="1"/>
  <c r="CO200" i="1" s="1"/>
  <c r="CP200" i="1" a="1"/>
  <c r="CP200" i="1"/>
  <c r="CQ200" i="1" a="1"/>
  <c r="CQ200" i="1"/>
  <c r="CR200" i="1" a="1"/>
  <c r="CR200" i="1" s="1"/>
  <c r="CS200" i="1" a="1"/>
  <c r="CS200" i="1"/>
  <c r="CT200" i="1" a="1"/>
  <c r="CT200" i="1"/>
  <c r="CU200" i="1" a="1"/>
  <c r="CU200" i="1" s="1"/>
  <c r="CV200" i="1" a="1"/>
  <c r="CV200" i="1"/>
  <c r="CW200" i="1" a="1"/>
  <c r="CW200" i="1"/>
  <c r="CX200" i="1" a="1"/>
  <c r="CX200" i="1" s="1"/>
  <c r="CY200" i="1" a="1"/>
  <c r="CY200" i="1"/>
  <c r="CZ200" i="1" a="1"/>
  <c r="CZ200" i="1"/>
  <c r="DA200" i="1" a="1"/>
  <c r="DA200" i="1" s="1"/>
  <c r="DB200" i="1" a="1"/>
  <c r="DB200" i="1"/>
  <c r="DC200" i="1" a="1"/>
  <c r="DC200" i="1"/>
  <c r="DD200" i="1" a="1"/>
  <c r="DD200" i="1" s="1"/>
  <c r="DE200" i="1" a="1"/>
  <c r="DE200" i="1"/>
  <c r="CI16" i="1" a="1"/>
  <c r="CI16" i="1" s="1"/>
  <c r="CJ16" i="1" a="1"/>
  <c r="CJ16" i="1"/>
  <c r="CL16" i="1" a="1"/>
  <c r="CL16" i="1" s="1"/>
  <c r="CM16" i="1" a="1"/>
  <c r="CM16" i="1"/>
  <c r="CN16" i="1" a="1"/>
  <c r="CN16" i="1"/>
  <c r="CO16" i="1" a="1"/>
  <c r="CO16" i="1" s="1"/>
  <c r="CP16" i="1" a="1"/>
  <c r="CP16" i="1"/>
  <c r="CQ16" i="1" a="1"/>
  <c r="CQ16" i="1"/>
  <c r="CR16" i="1" a="1"/>
  <c r="CR16" i="1" s="1"/>
  <c r="CS16" i="1" a="1"/>
  <c r="CS16" i="1"/>
  <c r="CT16" i="1" a="1"/>
  <c r="CT16" i="1"/>
  <c r="CU16" i="1" a="1"/>
  <c r="CU16" i="1" s="1"/>
  <c r="CV16" i="1" a="1"/>
  <c r="CV16" i="1"/>
  <c r="CW16" i="1" a="1"/>
  <c r="CW16" i="1"/>
  <c r="CX16" i="1" a="1"/>
  <c r="CX16" i="1" s="1"/>
  <c r="CY16" i="1" a="1"/>
  <c r="CY16" i="1"/>
  <c r="CZ16" i="1" a="1"/>
  <c r="CZ16" i="1"/>
  <c r="DA16" i="1" a="1"/>
  <c r="DA16" i="1" s="1"/>
  <c r="DB16" i="1" a="1"/>
  <c r="DB16" i="1"/>
  <c r="DC16" i="1" a="1"/>
  <c r="DC16" i="1"/>
  <c r="DD16" i="1" a="1"/>
  <c r="DD16" i="1" s="1"/>
  <c r="DE16" i="1" a="1"/>
  <c r="DE16" i="1"/>
  <c r="CK16" i="1" a="1"/>
  <c r="CK16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CI3" i="1"/>
  <c r="BK14" i="1"/>
  <c r="BL14" i="1"/>
  <c r="BM14" i="1"/>
  <c r="BN14" i="1"/>
  <c r="BO14" i="1"/>
  <c r="BP14" i="1"/>
  <c r="BQ14" i="1"/>
  <c r="BR14" i="1"/>
  <c r="BS14" i="1"/>
  <c r="BT14" i="1"/>
  <c r="BJ14" i="1"/>
  <c r="BL13" i="1"/>
  <c r="BN13" i="1"/>
  <c r="BO13" i="1"/>
  <c r="BP13" i="1"/>
  <c r="BQ13" i="1"/>
  <c r="BS13" i="1"/>
  <c r="BK13" i="1"/>
  <c r="BL12" i="1"/>
  <c r="BM12" i="1"/>
  <c r="BN12" i="1"/>
  <c r="BO12" i="1"/>
  <c r="BP12" i="1"/>
  <c r="BQ12" i="1"/>
  <c r="BR12" i="1"/>
  <c r="BS12" i="1"/>
  <c r="BK12" i="1"/>
  <c r="BL11" i="1"/>
  <c r="BM11" i="1"/>
  <c r="BN11" i="1"/>
  <c r="BO11" i="1"/>
  <c r="BP11" i="1"/>
  <c r="BQ11" i="1"/>
  <c r="BR11" i="1"/>
  <c r="BS11" i="1"/>
  <c r="BK11" i="1"/>
  <c r="BK10" i="1"/>
  <c r="BL10" i="1"/>
  <c r="BM10" i="1"/>
  <c r="BN10" i="1"/>
  <c r="BO10" i="1"/>
  <c r="BP10" i="1"/>
  <c r="BQ10" i="1"/>
  <c r="BR10" i="1"/>
  <c r="BJ10" i="1"/>
  <c r="BS10" i="1"/>
  <c r="BL9" i="1"/>
  <c r="BN9" i="1"/>
  <c r="BO9" i="1"/>
  <c r="BP9" i="1"/>
  <c r="BQ9" i="1"/>
  <c r="BS9" i="1"/>
  <c r="BK9" i="1"/>
  <c r="BK8" i="1"/>
  <c r="BL8" i="1"/>
  <c r="BM8" i="1"/>
  <c r="BN8" i="1"/>
  <c r="BO8" i="1"/>
  <c r="BP8" i="1"/>
  <c r="BQ8" i="1"/>
  <c r="BR8" i="1"/>
  <c r="BJ8" i="1"/>
  <c r="BL7" i="1"/>
  <c r="BM7" i="1"/>
  <c r="BN7" i="1"/>
  <c r="BO7" i="1"/>
  <c r="BP7" i="1"/>
  <c r="BQ7" i="1"/>
  <c r="BR7" i="1"/>
  <c r="BS7" i="1"/>
  <c r="BK7" i="1"/>
  <c r="BK6" i="1"/>
  <c r="BL6" i="1"/>
  <c r="BM6" i="1"/>
  <c r="BN6" i="1"/>
  <c r="BO6" i="1"/>
  <c r="BP6" i="1"/>
  <c r="BQ6" i="1"/>
  <c r="BR6" i="1"/>
  <c r="BS6" i="1"/>
  <c r="BJ6" i="1"/>
  <c r="BK5" i="1"/>
  <c r="BL5" i="1"/>
  <c r="BM5" i="1"/>
  <c r="BN5" i="1"/>
  <c r="BO5" i="1"/>
  <c r="BP5" i="1"/>
  <c r="BQ5" i="1"/>
  <c r="BR5" i="1"/>
  <c r="BS5" i="1"/>
  <c r="BJ5" i="1"/>
  <c r="BL4" i="1"/>
  <c r="BM4" i="1"/>
  <c r="BN4" i="1"/>
  <c r="BO4" i="1"/>
  <c r="BP4" i="1"/>
  <c r="BQ4" i="1"/>
  <c r="BR4" i="1"/>
  <c r="BS4" i="1"/>
  <c r="BK4" i="1"/>
  <c r="K13" i="1" l="1"/>
  <c r="L13" i="1"/>
  <c r="M13" i="1"/>
  <c r="N13" i="1"/>
  <c r="O13" i="1"/>
  <c r="P13" i="1"/>
  <c r="Q13" i="1"/>
  <c r="R13" i="1"/>
  <c r="S13" i="1"/>
  <c r="T13" i="1"/>
  <c r="U13" i="1"/>
  <c r="J13" i="1"/>
  <c r="Y139" i="1"/>
  <c r="Y138" i="1"/>
  <c r="K207" i="1" l="1"/>
  <c r="Q207" i="1"/>
  <c r="J207" i="1"/>
  <c r="L207" i="1"/>
  <c r="R207" i="1"/>
  <c r="M207" i="1"/>
  <c r="S207" i="1"/>
  <c r="U207" i="1"/>
  <c r="N207" i="1"/>
  <c r="T207" i="1"/>
  <c r="O207" i="1"/>
  <c r="P207" i="1"/>
  <c r="U209" i="1" l="1"/>
  <c r="T209" i="1"/>
  <c r="S209" i="1"/>
  <c r="R209" i="1"/>
  <c r="Q209" i="1"/>
  <c r="P209" i="1"/>
  <c r="O209" i="1"/>
  <c r="N209" i="1"/>
  <c r="M209" i="1"/>
  <c r="L209" i="1"/>
  <c r="K209" i="1"/>
  <c r="J209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W16" i="1"/>
  <c r="V16" i="1"/>
  <c r="U14" i="1"/>
  <c r="T14" i="1"/>
  <c r="S14" i="1"/>
  <c r="R14" i="1"/>
  <c r="Q14" i="1"/>
  <c r="P14" i="1"/>
  <c r="O14" i="1"/>
  <c r="N14" i="1"/>
  <c r="M14" i="1"/>
  <c r="L14" i="1"/>
  <c r="K14" i="1"/>
  <c r="J14" i="1"/>
  <c r="U12" i="1"/>
  <c r="T12" i="1"/>
  <c r="S12" i="1"/>
  <c r="R12" i="1"/>
  <c r="Q12" i="1"/>
  <c r="P12" i="1"/>
  <c r="O12" i="1"/>
  <c r="N12" i="1"/>
  <c r="M12" i="1"/>
  <c r="L12" i="1"/>
  <c r="K12" i="1"/>
  <c r="J12" i="1"/>
  <c r="W207" i="1" l="1"/>
</calcChain>
</file>

<file path=xl/sharedStrings.xml><?xml version="1.0" encoding="utf-8"?>
<sst xmlns="http://schemas.openxmlformats.org/spreadsheetml/2006/main" count="3811" uniqueCount="1501">
  <si>
    <t>#</t>
  </si>
  <si>
    <t>PN_ID</t>
  </si>
  <si>
    <t>REV</t>
  </si>
  <si>
    <t>CATALOG</t>
  </si>
  <si>
    <t>DESCRIPTION</t>
  </si>
  <si>
    <t>UOM</t>
  </si>
  <si>
    <t>SUM</t>
  </si>
  <si>
    <t>manufacturer</t>
  </si>
  <si>
    <t>TOTAL PRICE</t>
  </si>
  <si>
    <t>NAME</t>
  </si>
  <si>
    <t>PHONE</t>
  </si>
  <si>
    <t>EMAIL</t>
  </si>
  <si>
    <t>NOTES</t>
  </si>
  <si>
    <t>-</t>
  </si>
  <si>
    <t>EA</t>
  </si>
  <si>
    <t>ASSY</t>
  </si>
  <si>
    <t>BUY1</t>
  </si>
  <si>
    <t>N41402082</t>
  </si>
  <si>
    <t>FFF001319</t>
  </si>
  <si>
    <t>TERMINAL  SOLDER LUG</t>
  </si>
  <si>
    <t>04021J0R7PBSTR</t>
  </si>
  <si>
    <t>CHIP CAP 0.7PF +-.02PF 100V T&amp;R</t>
  </si>
  <si>
    <t>04025J3R3ABSTR</t>
  </si>
  <si>
    <t>CHIP CAP 3.3PF +-.05PF 50V T&amp;R</t>
  </si>
  <si>
    <t>V</t>
  </si>
  <si>
    <t>0505P100JW151XTV</t>
  </si>
  <si>
    <t>0505P4R7BW151XTV</t>
  </si>
  <si>
    <t>CHIP CAP 4.7PF +/-0.1PF 150V 1.4MM2</t>
  </si>
  <si>
    <t>AR</t>
  </si>
  <si>
    <t>100A4R7BT150XTV</t>
  </si>
  <si>
    <t>CHIP CAP 4.7PF +/-0.1PF 150VOLT 55X5</t>
  </si>
  <si>
    <t>100RC37SCBRP1</t>
  </si>
  <si>
    <t>N64403777</t>
  </si>
  <si>
    <t>FFF005141</t>
  </si>
  <si>
    <t>RECT RECP R/A 37 SKT DIP SOLDER</t>
  </si>
  <si>
    <t>972-054-8849141</t>
  </si>
  <si>
    <t>chen@amphenol-bartec.com</t>
  </si>
  <si>
    <t>C</t>
  </si>
  <si>
    <t>NAMEPLATE</t>
  </si>
  <si>
    <t>ACKERMAN</t>
  </si>
  <si>
    <t>Ori Ackerman</t>
  </si>
  <si>
    <t>972-4-82220888 . Ext.7</t>
  </si>
  <si>
    <t>ori@ackerman-printing.com</t>
  </si>
  <si>
    <t>GUIDE PIN</t>
  </si>
  <si>
    <t>SIMAT</t>
  </si>
  <si>
    <t xml:space="preserve">Roni Peleg </t>
  </si>
  <si>
    <t>052-3220004</t>
  </si>
  <si>
    <t>ronih@simat.co.il</t>
  </si>
  <si>
    <t>A</t>
  </si>
  <si>
    <t>B</t>
  </si>
  <si>
    <t>BFE</t>
  </si>
  <si>
    <t>Gumiyan</t>
  </si>
  <si>
    <t>Avi Moshe</t>
  </si>
  <si>
    <t>972.50.7817815</t>
  </si>
  <si>
    <t>avi@gumiyan.co.il</t>
  </si>
  <si>
    <t>WAVE MECHANICS</t>
  </si>
  <si>
    <t>Sujith John</t>
  </si>
  <si>
    <t>sujith.ninan@wm.kahm.co</t>
  </si>
  <si>
    <t>BRACKET</t>
  </si>
  <si>
    <t>HANDLE</t>
  </si>
  <si>
    <t>AMPHETRONIX</t>
  </si>
  <si>
    <t>Yaniv Cohen</t>
  </si>
  <si>
    <t>972.54.4744101</t>
  </si>
  <si>
    <t>yaniv@amphenol-bartec.com</t>
  </si>
  <si>
    <t>GASKET</t>
  </si>
  <si>
    <t>10S519-S60N3</t>
  </si>
  <si>
    <t>CONN,RF,ADAPTER,RPC-SP PLUG/SMP PLUG,50</t>
  </si>
  <si>
    <t>ROSENBERGER</t>
  </si>
  <si>
    <t>MTI</t>
  </si>
  <si>
    <t>Niv Kalaf</t>
  </si>
  <si>
    <t>054-4902518</t>
  </si>
  <si>
    <t>nivk@mtisummit.co.il</t>
  </si>
  <si>
    <t>19K101-K00L5</t>
  </si>
  <si>
    <t>CONN RF ADAPTOR SMP JACK STRA/JACK STRA,</t>
  </si>
  <si>
    <t>ROSENBERGER MICROWAVE CORP</t>
  </si>
  <si>
    <t>19K119-K40L5</t>
  </si>
  <si>
    <t>CONN RF ADAPTER SMP(F)/SMP(F) L=10.0MM</t>
  </si>
  <si>
    <t>19S11E-400L5</t>
  </si>
  <si>
    <t>CONN RF SMP STRT PLUG,50OHMS,DC TO 18GH</t>
  </si>
  <si>
    <t>19S11T-40ML5</t>
  </si>
  <si>
    <t>CONN RF SMP PLUG STR PCB SMT L.D.,50OHMS</t>
  </si>
  <si>
    <t>242 50CC</t>
  </si>
  <si>
    <t>FFF016903</t>
  </si>
  <si>
    <t>SEALING LOCKING ANAEROB. COMP. SUPERFAST</t>
  </si>
  <si>
    <t>293D106X9010A2TE3</t>
  </si>
  <si>
    <t>CHIP CAP 10UF 10% 10V TANTAL T&amp;R</t>
  </si>
  <si>
    <t>ECOMAL</t>
  </si>
  <si>
    <t>POLINA RASHKOVSKY</t>
  </si>
  <si>
    <t>972-54-3000151</t>
  </si>
  <si>
    <t>POLINA.RASHKOVSKY@VISHAY.COM</t>
  </si>
  <si>
    <t>293D107X9010D2TE3</t>
  </si>
  <si>
    <t>CHIP CAP 100UF 10% 10V TANTAL T&amp;R</t>
  </si>
  <si>
    <t>293D475X9016A2TE3</t>
  </si>
  <si>
    <t>CHIP CAP 4.7UF 10% 16V TANTAL T&amp;R</t>
  </si>
  <si>
    <t>34_BMA-SMA-N50-8/1--_UE</t>
  </si>
  <si>
    <t>BUY2</t>
  </si>
  <si>
    <t>CONN RF ADAPTER SMA (F)/BMA (F) BULKHEAD</t>
  </si>
  <si>
    <t>400L0R7PT200T</t>
  </si>
  <si>
    <t>400L3R3AT50T</t>
  </si>
  <si>
    <t>700A102KT50XTV</t>
  </si>
  <si>
    <t>FFF300776</t>
  </si>
  <si>
    <t>74ACT04SCX</t>
  </si>
  <si>
    <t>IC HEX INVERTER T&amp;R</t>
  </si>
  <si>
    <t>A-A-52080-B-5 BLACK</t>
  </si>
  <si>
    <t>FFF016584</t>
  </si>
  <si>
    <t>LACING TAPES,NYLON TAPE FOR LACING &amp; TYI</t>
  </si>
  <si>
    <t>+250$ FOR TEST REPORTS</t>
  </si>
  <si>
    <t>ABM1M-AT-M</t>
  </si>
  <si>
    <t>HARDWARE CABLE TIE MOUNT. BASE 4 WAY,</t>
  </si>
  <si>
    <t>ATC100A100JW150XTV</t>
  </si>
  <si>
    <t>C0402C100C5GAC7867</t>
  </si>
  <si>
    <t>CHIP CAP 10PF +-0.25PF 50V C0G T&amp;R</t>
  </si>
  <si>
    <t>KEMET ELECTRONICS S A</t>
  </si>
  <si>
    <t>C0402C101J3GACTU</t>
  </si>
  <si>
    <t>C0402C102K5RAC7867</t>
  </si>
  <si>
    <t>CHIP CAP 1000PF 10% 50VOLT X7R T&amp;R</t>
  </si>
  <si>
    <t>C0402C103K3RAC7867</t>
  </si>
  <si>
    <t>C0402C103K5RALTU</t>
  </si>
  <si>
    <t>CHIP CAP 0.01UF 10% 50V X7R T&amp;R</t>
  </si>
  <si>
    <t>C0603C104K5RAC7867</t>
  </si>
  <si>
    <t>CHIP CAP 0.1UF 10% 50V X7R T&amp;R</t>
  </si>
  <si>
    <t>C0603C560G5GACTU</t>
  </si>
  <si>
    <t>CHIP CAP 56PF 2% 50V C0G T&amp;R</t>
  </si>
  <si>
    <t>C0805C475K4RAC7025</t>
  </si>
  <si>
    <t>CHIP CAP 4.7UF 10% 16V X7R T&amp;R</t>
  </si>
  <si>
    <t>C10-218</t>
  </si>
  <si>
    <t>CABLE ASSY,CAP END,CABLE 3X7,.032IN DIA</t>
  </si>
  <si>
    <t>.DANIELS MANUFACTURING CORP</t>
  </si>
  <si>
    <t>Adam Chayon</t>
  </si>
  <si>
    <t>1.646.3791129</t>
  </si>
  <si>
    <t>adam@kaytech.com</t>
  </si>
  <si>
    <t>C1210C106K5RACTU</t>
  </si>
  <si>
    <t>CL05B104KP5NNNC</t>
  </si>
  <si>
    <t>CHIP CAP 0.1UF 10% 10V X7R T&amp;R</t>
  </si>
  <si>
    <t>CL05C010BB5NNNC</t>
  </si>
  <si>
    <t>CHIP CAP 1PF +-0.25PF 50V C0G T&amp;R</t>
  </si>
  <si>
    <t>CL05C4R7CB5NNNC</t>
  </si>
  <si>
    <t>CL31B105KAHNNNE</t>
  </si>
  <si>
    <t>CHIP CAP 1UF 10% 25V X7R T&amp;R</t>
  </si>
  <si>
    <t>CRCW04020000ZSED</t>
  </si>
  <si>
    <t>CHIP RESIS 0 OHM 0% .063W T&amp;R</t>
  </si>
  <si>
    <t>VISHAY RESISTIVE SYSTEMS</t>
  </si>
  <si>
    <t>CRCW040210K0FKED</t>
  </si>
  <si>
    <t>FFF004487</t>
  </si>
  <si>
    <t>CHIP RESIS 10 KOHM 1%  T&amp;R</t>
  </si>
  <si>
    <t>CRCW04021K00FKED</t>
  </si>
  <si>
    <t>FFF004408</t>
  </si>
  <si>
    <t>CHIP RESIS 1 KOHM 1% T&amp;R</t>
  </si>
  <si>
    <t>CRCW04021M00FKED</t>
  </si>
  <si>
    <t>FFF004477</t>
  </si>
  <si>
    <t>CHIP RESIS 1MOHM 1% .063W T&amp;R</t>
  </si>
  <si>
    <t>CRCW0402243RFKED</t>
  </si>
  <si>
    <t>CHIP RESIS 243 OHM 1% .063W T&amp;R</t>
  </si>
  <si>
    <t>CRCW040224R3FKED</t>
  </si>
  <si>
    <t>CHIP RESIS 24.3 OHM 1% .063W T&amp;R</t>
  </si>
  <si>
    <t>CRCW040230R1FKED</t>
  </si>
  <si>
    <t>CHIP RESIS 30.1 OHM 1% .063W T&amp;R</t>
  </si>
  <si>
    <t>CRCW06030000Z0EA</t>
  </si>
  <si>
    <t>FFF004838</t>
  </si>
  <si>
    <t>CHIP JUMPER 1.55X0.85MM T&amp;R</t>
  </si>
  <si>
    <t>CRCW0603100KFKEA</t>
  </si>
  <si>
    <t>FFF004188</t>
  </si>
  <si>
    <t>CHIP RESIS 100KOHM 1% .1W T&amp;R</t>
  </si>
  <si>
    <t>CRCW0603100RFKEA</t>
  </si>
  <si>
    <t>FFF004251</t>
  </si>
  <si>
    <t>CHIP RESIS 100 OHM 1% .1W T&amp;R</t>
  </si>
  <si>
    <t>CRCW060310K0FKEA</t>
  </si>
  <si>
    <t>FFF003821</t>
  </si>
  <si>
    <t>CHIP RESIS 10KOHM 1% .1W T&amp;R</t>
  </si>
  <si>
    <t>CRCW0603110KFKTA</t>
  </si>
  <si>
    <t>FFF003893</t>
  </si>
  <si>
    <t>CHIP RESIS 110KOHM 1% .1W T&amp;R</t>
  </si>
  <si>
    <t>CRCW0603150RFKEA</t>
  </si>
  <si>
    <t>FFF004268</t>
  </si>
  <si>
    <t>CHIP RESIS 150 OHM 1% .1W T&amp;R</t>
  </si>
  <si>
    <t>CRCW06031K00FKEA</t>
  </si>
  <si>
    <t>FFF004310</t>
  </si>
  <si>
    <t>CHIP RESIS 1KOHM 1% .1W T&amp;R</t>
  </si>
  <si>
    <t>CRCW06031K33FKEA</t>
  </si>
  <si>
    <t>FFF003896</t>
  </si>
  <si>
    <t>CHIP RESIS 1.33KOHM 1% .1W T&amp;R</t>
  </si>
  <si>
    <t>CRCW0603221RFKEA</t>
  </si>
  <si>
    <t>FFF004245</t>
  </si>
  <si>
    <t>CHIP RESIS 221 OHM 1% .1W T&amp;R</t>
  </si>
  <si>
    <t>CRCW060324R9FKEA</t>
  </si>
  <si>
    <t>FFF003829</t>
  </si>
  <si>
    <t>CHIP RESIS 24.9 OHM 1% .1W T&amp;R</t>
  </si>
  <si>
    <t>CRCW0603301RFKEA</t>
  </si>
  <si>
    <t>FFF004098</t>
  </si>
  <si>
    <t>CHIP RESIS 301 OHM 1% .1W T&amp;R</t>
  </si>
  <si>
    <t>CRCW060349R9FKEA</t>
  </si>
  <si>
    <t>FFF003946</t>
  </si>
  <si>
    <t>CHIP RESIS 49.9 OHM 1% .1W T&amp;R</t>
  </si>
  <si>
    <t>CRCW0603562KFKTA</t>
  </si>
  <si>
    <t>FFF003977</t>
  </si>
  <si>
    <t>CRCW060356K2FKEA</t>
  </si>
  <si>
    <t>FFF004290</t>
  </si>
  <si>
    <t>CHIP RESIS 56.2KOHM 1% .1W T&amp;R</t>
  </si>
  <si>
    <t>CRCW0603825KFKTA</t>
  </si>
  <si>
    <t>FFF004101</t>
  </si>
  <si>
    <t>CHIP RESIS 825KOHM 1% .1W T&amp;R</t>
  </si>
  <si>
    <t>CRCW0603825RFKEA</t>
  </si>
  <si>
    <t>FFF004075</t>
  </si>
  <si>
    <t>CHIP RESIS 825 OHM 1% .1W T&amp;R</t>
  </si>
  <si>
    <t>CRCW060382R5FKEA</t>
  </si>
  <si>
    <t>FFF004227</t>
  </si>
  <si>
    <t>CHIP RESIS 82.5 OHM 1% .1W T&amp;R</t>
  </si>
  <si>
    <t>CRCW060390K9FKTA</t>
  </si>
  <si>
    <t>FFF003860</t>
  </si>
  <si>
    <t>CHIP RESIS 90.9KOHM 1% .1W T&amp;R</t>
  </si>
  <si>
    <t>CRCW080512K1FKTA</t>
  </si>
  <si>
    <t>FFF003875</t>
  </si>
  <si>
    <t>CHIP RESIS 12.1KOHM 1% .125W T&amp;R</t>
  </si>
  <si>
    <t>CRCW080523K2FKEA</t>
  </si>
  <si>
    <t>FFF004006</t>
  </si>
  <si>
    <t>CRCW12060000ZSEA</t>
  </si>
  <si>
    <t>FFF004837</t>
  </si>
  <si>
    <t>CHIP JUMPER  T&amp;R</t>
  </si>
  <si>
    <t>CRCW120610K0FKEA</t>
  </si>
  <si>
    <t>FFF003590</t>
  </si>
  <si>
    <t>CRCW12061K10FKEA</t>
  </si>
  <si>
    <t>FFF300739</t>
  </si>
  <si>
    <t>CHIP RESIS 1.1 KOHM 1% .25W T&amp;R</t>
  </si>
  <si>
    <t>CRCW12061K50FKTA</t>
  </si>
  <si>
    <t>FFF004114</t>
  </si>
  <si>
    <t>CHIP RESIS 1.5KOHM 1%.25W T&amp;R</t>
  </si>
  <si>
    <t>QPL</t>
  </si>
  <si>
    <t>AIR ELECTRO</t>
  </si>
  <si>
    <t>Yael Levinger</t>
  </si>
  <si>
    <t>972-54-9250060</t>
  </si>
  <si>
    <t>Ylevinger@airelectro.com</t>
  </si>
  <si>
    <t>D38999/33W21N</t>
  </si>
  <si>
    <t>N71309488</t>
  </si>
  <si>
    <t>CONN CIRC DUST CAP RECPT 21-SHL ALUMINUM</t>
  </si>
  <si>
    <t>D791639-8/10-B</t>
  </si>
  <si>
    <t>NUT RETAINER,100 DEG. FLUSH HEAD,SLOTTED</t>
  </si>
  <si>
    <t>HOWMET GLOBAL FASTENING SYSTEMS(ALC</t>
  </si>
  <si>
    <t>DC4</t>
  </si>
  <si>
    <t>FFF016785</t>
  </si>
  <si>
    <t>COMPOUND SILICONE NONMELTING , HEAT</t>
  </si>
  <si>
    <t>DS26C31TMX/NOPB</t>
  </si>
  <si>
    <t>IC QUAD DIFF LINE DRIVER T&amp;R LEAD-FREE</t>
  </si>
  <si>
    <t>TEXAS INSTRUMENTS INC</t>
  </si>
  <si>
    <t>OFIR GEULA</t>
  </si>
  <si>
    <t>972-52-5352248</t>
  </si>
  <si>
    <t>OFIR_GEULA@TI.COM</t>
  </si>
  <si>
    <t>EC2216A/B GRAY KT2OZ</t>
  </si>
  <si>
    <t>FFF016822</t>
  </si>
  <si>
    <t>ADHESIVE STRUCTURAL EPOXY BASE, TWO-PART</t>
  </si>
  <si>
    <t>SCREW,CAPTIVE,NUT RETAINER TYPE,SINGLE L</t>
  </si>
  <si>
    <t>FASTENER TECHNOLOGY CORP</t>
  </si>
  <si>
    <t>FTC</t>
  </si>
  <si>
    <t>GRM155R71C104KA88D</t>
  </si>
  <si>
    <t>GRM155R71H331KA01D</t>
  </si>
  <si>
    <t>HCPL-063L-500E</t>
  </si>
  <si>
    <t>OPTOCOUPLER T&amp;R</t>
  </si>
  <si>
    <t>HMC284AMS8GETR</t>
  </si>
  <si>
    <t>SPDT ; NON-REFLECTIVE SWITCH ; DC-3.5GHZ</t>
  </si>
  <si>
    <t>NEXTWAVE</t>
  </si>
  <si>
    <t>MICHAL RUBIN</t>
  </si>
  <si>
    <t>972-54-8045555</t>
  </si>
  <si>
    <t>MICHAL@NEXTWAVE.CO.IL</t>
  </si>
  <si>
    <t>LOCTITE 222-10CC</t>
  </si>
  <si>
    <t>SEALING LOCKING ANAEROBIC COMPOUND, SING</t>
  </si>
  <si>
    <t>LOCTITE 222-50CC</t>
  </si>
  <si>
    <t>FFF016923</t>
  </si>
  <si>
    <t>HENKEL CORPORATION AEROSPACE GROUP</t>
  </si>
  <si>
    <t>Ellsworth</t>
  </si>
  <si>
    <t>LTC2908IDDB-A1#TRMPBF</t>
  </si>
  <si>
    <t>IC SIX INPUT SUPPLY MONITOR</t>
  </si>
  <si>
    <t>MC74ACT04DR2G</t>
  </si>
  <si>
    <t>Avnet India</t>
  </si>
  <si>
    <t>MM3Z5V1T1G</t>
  </si>
  <si>
    <t>DIODE  ZENER 5.1V T&amp;R LEAD-FREE</t>
  </si>
  <si>
    <t>MMBD4148-7-F</t>
  </si>
  <si>
    <t>DIODE.RECT 75V 0.6A 0.35W 4NS</t>
  </si>
  <si>
    <t>MMBT2222ALT1G</t>
  </si>
  <si>
    <t>TRANSISTOR NPN T&amp;R</t>
  </si>
  <si>
    <t>MS16995-16</t>
  </si>
  <si>
    <t>SCREW,CAP HEAD,HEX SOCKET RECESS,FULL SH</t>
  </si>
  <si>
    <t>NAS/NASM NATIONAL AEROSPACE STD</t>
  </si>
  <si>
    <t>MS24693-C3</t>
  </si>
  <si>
    <t>SCREW MACHINE 100 DEG. FLUSH HEAD CRUCIF</t>
  </si>
  <si>
    <t>MS24693-C4</t>
  </si>
  <si>
    <t>SCREW,MACHINE,100 DEG. FLUSH HEAD,CRUCIF</t>
  </si>
  <si>
    <t>MS3213-22</t>
  </si>
  <si>
    <t>SCREW,MACHINE,PAN HEAD,CRUCIFORM RECESS</t>
  </si>
  <si>
    <t>MS35338-134</t>
  </si>
  <si>
    <t>WASHER,LOCK,HELICAL SPRING,REGULAR (MEDI</t>
  </si>
  <si>
    <t>MS35338-135</t>
  </si>
  <si>
    <t>MS35338-136</t>
  </si>
  <si>
    <t>WASHER LOCK HELICAL SPRING REGULAR (MEDI</t>
  </si>
  <si>
    <t>MS35338-137</t>
  </si>
  <si>
    <t>MS51957-13</t>
  </si>
  <si>
    <t>MS51957-14</t>
  </si>
  <si>
    <t>SCREW MACHINE PAN HEAD CRUCIFORM RECESS</t>
  </si>
  <si>
    <t>MS MILITARY STANDARDS</t>
  </si>
  <si>
    <t>MS51957-15</t>
  </si>
  <si>
    <t>MS51957-29</t>
  </si>
  <si>
    <t>MS51957-3</t>
  </si>
  <si>
    <t>N2510-5002-RB</t>
  </si>
  <si>
    <t>CONN RECT HEADER R/A 10 PIN DIP SOLDER</t>
  </si>
  <si>
    <t>RAY-Q</t>
  </si>
  <si>
    <t>Limor refael</t>
  </si>
  <si>
    <t>972.52.5646677</t>
  </si>
  <si>
    <t>lrefael@tti.ray-q.com</t>
  </si>
  <si>
    <t>NAS1352C02-9</t>
  </si>
  <si>
    <t>NAS1676C4</t>
  </si>
  <si>
    <t>WASHER,SPRING LOCK,HELICAL,HI-COLLAR,#4</t>
  </si>
  <si>
    <t>NAS620C2</t>
  </si>
  <si>
    <t>WASHER,FLAT,PLAIN,REDUCED OD, 2 SIZE,.01</t>
  </si>
  <si>
    <t>NAS620C4</t>
  </si>
  <si>
    <t>WASHER,FLAT,PLAIN,REDUCED OD, 4 SIZE,.03</t>
  </si>
  <si>
    <t>NAS620C6</t>
  </si>
  <si>
    <t>WASHER,FLAT,PLAIN,REDUCED OD, 6 SIZE,.03</t>
  </si>
  <si>
    <t>NAS620C8</t>
  </si>
  <si>
    <t>WASHER,FLAT,PLAIN,REDUCED OD, 8 SIZE,.03</t>
  </si>
  <si>
    <t>NC7ST04P5X</t>
  </si>
  <si>
    <t>IC HST INVERTER  T&amp;R</t>
  </si>
  <si>
    <t>NC7SZ08M5X-L22090</t>
  </si>
  <si>
    <t>IC 2-IN AND GATE TAPE&amp;REEL</t>
  </si>
  <si>
    <t>NGC-1206CS50R0G</t>
  </si>
  <si>
    <t>CHIP RESISTOR HIGH POWER 50 OHM 2%</t>
  </si>
  <si>
    <t>PLT1M-M</t>
  </si>
  <si>
    <t>FFF009276</t>
  </si>
  <si>
    <t>MOUNT/TIE</t>
  </si>
  <si>
    <t>PRO TEK DEVICES</t>
  </si>
  <si>
    <t>PTL-16-426</t>
  </si>
  <si>
    <t>LABELS</t>
  </si>
  <si>
    <t>PTL-9-724</t>
  </si>
  <si>
    <t>HIGH TEMPERATURE POLYIMIDE LABEL,WIDE</t>
  </si>
  <si>
    <t>BRADY W.H. INDUSTRIAL PRODUCTS DIV.</t>
  </si>
  <si>
    <t>SMBJ24A</t>
  </si>
  <si>
    <t>N51872976</t>
  </si>
  <si>
    <t>TRAN. VOLT. SUPPR.  VR=24V VC=38V  I</t>
  </si>
  <si>
    <t>SMBJ5.0AE3/52</t>
  </si>
  <si>
    <t>FFF002027</t>
  </si>
  <si>
    <t>DIODE TRANSIENT SUPRESSOR 5V T&amp;R</t>
  </si>
  <si>
    <t>SN74LVTH16244ADGGR</t>
  </si>
  <si>
    <t>IC 16-BIT BUFFER/LINE DRIVER T&amp;R</t>
  </si>
  <si>
    <t>TM1S4-C</t>
  </si>
  <si>
    <t>TIE CABLE MOUNT</t>
  </si>
  <si>
    <t>TS0501W3S/TR</t>
  </si>
  <si>
    <t>CHIP ATT. 1DB DC-18GHZ 0.1W 50OHM T&amp;R</t>
  </si>
  <si>
    <t>FFF</t>
  </si>
  <si>
    <t>SUG_MLAI</t>
  </si>
  <si>
    <t>ORIG_QTY</t>
  </si>
  <si>
    <t>6931A105-001</t>
  </si>
  <si>
    <t>6931A080-001</t>
  </si>
  <si>
    <t>1094Y690-001</t>
  </si>
  <si>
    <t>1033A299-001</t>
  </si>
  <si>
    <t>6931A090-001</t>
  </si>
  <si>
    <t>6931A200-001</t>
  </si>
  <si>
    <t>1094F211-002</t>
  </si>
  <si>
    <t>1037M840-001</t>
  </si>
  <si>
    <t>1037M839-001</t>
  </si>
  <si>
    <t>6931A450-001</t>
  </si>
  <si>
    <t>1037M723-001</t>
  </si>
  <si>
    <t>QTY</t>
  </si>
  <si>
    <t>SUPPLIER</t>
  </si>
  <si>
    <t>ANTENNA UNIT SUB ASSY</t>
  </si>
  <si>
    <t>1022L945-005</t>
  </si>
  <si>
    <t>THERMAL PADS KIT (FRAME)</t>
  </si>
  <si>
    <t>BUY BY ELTA SPEC</t>
  </si>
  <si>
    <t>PRONAT</t>
  </si>
  <si>
    <t>Diane Biberman-Naiger</t>
  </si>
  <si>
    <t>972.4.6286843</t>
  </si>
  <si>
    <t>diane@pronat.co.il</t>
  </si>
  <si>
    <t>1022L967-003</t>
  </si>
  <si>
    <t>SPACER FOR JIG</t>
  </si>
  <si>
    <t>1022L987-001</t>
  </si>
  <si>
    <t>BRACKET FOR CF CARD</t>
  </si>
  <si>
    <t>SMR CF W/BOOTLOADER</t>
  </si>
  <si>
    <t>1033A447-001</t>
  </si>
  <si>
    <t>D</t>
  </si>
  <si>
    <t>HARNESS WK001 - POWER - MAIN</t>
  </si>
  <si>
    <t>1033A448-001</t>
  </si>
  <si>
    <t>HARNESS WK008 - POWER FAN</t>
  </si>
  <si>
    <t>1036N114-001</t>
  </si>
  <si>
    <t>SPONGES  KIT (FRAME)</t>
  </si>
  <si>
    <t>1037M713-001</t>
  </si>
  <si>
    <t>SPACER</t>
  </si>
  <si>
    <t>1037M719-001</t>
  </si>
  <si>
    <t>1037M722-001</t>
  </si>
  <si>
    <t>FAN HOUSE</t>
  </si>
  <si>
    <t>FAN HOUSE SUBASSY</t>
  </si>
  <si>
    <t>1037M730-001</t>
  </si>
  <si>
    <t>CONN REAR PANEL ASSY</t>
  </si>
  <si>
    <t>1037M732-001</t>
  </si>
  <si>
    <t>REAR COVER MACH</t>
  </si>
  <si>
    <t>1037M818-001</t>
  </si>
  <si>
    <t>A02</t>
  </si>
  <si>
    <t>S/R CABLE W25</t>
  </si>
  <si>
    <t>1037M819-001</t>
  </si>
  <si>
    <t>S/R CABLE W20</t>
  </si>
  <si>
    <t>EIM</t>
  </si>
  <si>
    <t>Rachel Vanunu</t>
  </si>
  <si>
    <t>972-54-611203</t>
  </si>
  <si>
    <t>rachel@eimsys.co.il</t>
  </si>
  <si>
    <t>1037M820-001</t>
  </si>
  <si>
    <t>S/R CABLE W21</t>
  </si>
  <si>
    <t>1037M821-001</t>
  </si>
  <si>
    <t>S/R CABLE W22</t>
  </si>
  <si>
    <t>1037M822-001</t>
  </si>
  <si>
    <t>S/R CABLE W23</t>
  </si>
  <si>
    <t>1037M823-001</t>
  </si>
  <si>
    <t>S/R CABLE W24</t>
  </si>
  <si>
    <t>1037M832-001</t>
  </si>
  <si>
    <t>FAN BASE WIRING</t>
  </si>
  <si>
    <t>1037M833-001</t>
  </si>
  <si>
    <t>F</t>
  </si>
  <si>
    <t>RIGHT TUNNEL ADAPTOR</t>
  </si>
  <si>
    <t>AGAM</t>
  </si>
  <si>
    <t>AMIT</t>
  </si>
  <si>
    <t>amit@agam.co.il</t>
  </si>
  <si>
    <t>1037M834-001</t>
  </si>
  <si>
    <t>LEFT TUNNEL ADAPTOR</t>
  </si>
  <si>
    <t>1037M835-001</t>
  </si>
  <si>
    <t>LEFT GASKET</t>
  </si>
  <si>
    <t>1037M836-001</t>
  </si>
  <si>
    <t>RIGHT GASKET</t>
  </si>
  <si>
    <t>RIGHT TUNNEL ADAPTOR ASSY</t>
  </si>
  <si>
    <t>LEFT TUNNEL ADAPTOR ASSY</t>
  </si>
  <si>
    <t>1037M844-001</t>
  </si>
  <si>
    <t>LIFTING LABEL</t>
  </si>
  <si>
    <t>1037M850-001</t>
  </si>
  <si>
    <t>POWER SUPPLY AIR DUCT ASSY</t>
  </si>
  <si>
    <t>1037M859-001</t>
  </si>
  <si>
    <t>RAIN COVER ASSY</t>
  </si>
  <si>
    <t>1039F502-001</t>
  </si>
  <si>
    <t>RSP F/ASSY</t>
  </si>
  <si>
    <t>1039F570-001</t>
  </si>
  <si>
    <t>ANTENNA MAIN FRAME F/ASSY</t>
  </si>
  <si>
    <t>1039F842-001</t>
  </si>
  <si>
    <t>HARNESS WB002 - POWER - PS TO SMR LEFT</t>
  </si>
  <si>
    <t>1039F843-001</t>
  </si>
  <si>
    <t>HARNESS WB003 - POWER - PS TO SMR RIGHT</t>
  </si>
  <si>
    <t>1039F846-001</t>
  </si>
  <si>
    <t>HARNESS WB006 - CONTROL</t>
  </si>
  <si>
    <t>1039F847-001</t>
  </si>
  <si>
    <t>HARNESS WB007 - MASTER OSCILATOR</t>
  </si>
  <si>
    <t>1039F852-001</t>
  </si>
  <si>
    <t>COVER OPTIC</t>
  </si>
  <si>
    <t>1054875-1</t>
  </si>
  <si>
    <t>N65805756</t>
  </si>
  <si>
    <t>FFF006040</t>
  </si>
  <si>
    <t>ADAPTER WITHIN SMA(F) TO SMA(F) BULK</t>
  </si>
  <si>
    <t>TE CONNECTIVITY</t>
  </si>
  <si>
    <t>CHEN MAN</t>
  </si>
  <si>
    <t>BUY ALT SF2991-6002</t>
  </si>
  <si>
    <t>1094F182-001</t>
  </si>
  <si>
    <t>HANDLE SUPPORT</t>
  </si>
  <si>
    <t>1094F184-001</t>
  </si>
  <si>
    <t>DC CONN SUPPORT</t>
  </si>
  <si>
    <t>1094F187-002</t>
  </si>
  <si>
    <t>SMR RF COVER MACH</t>
  </si>
  <si>
    <t>1094F188-001</t>
  </si>
  <si>
    <t>SMR DC COVER MACH</t>
  </si>
  <si>
    <t>1094F198-001</t>
  </si>
  <si>
    <t>1094F199-001</t>
  </si>
  <si>
    <t>1094F207-001</t>
  </si>
  <si>
    <t>1094F208-001</t>
  </si>
  <si>
    <t>ANDRE</t>
  </si>
  <si>
    <t>OXANA ORDINASKI</t>
  </si>
  <si>
    <t>972.50.6545478</t>
  </si>
  <si>
    <t>info@andre.co.il</t>
  </si>
  <si>
    <t>PC ASSY ANT CNRL</t>
  </si>
  <si>
    <t>1094F212-002</t>
  </si>
  <si>
    <t>PC BLANK MASTER DWG. SCH-5 Z2</t>
  </si>
  <si>
    <t>1094F214-001</t>
  </si>
  <si>
    <t>THERMAL PAD</t>
  </si>
  <si>
    <t>1094F807-001</t>
  </si>
  <si>
    <t>GASKET AIR PS OUTLET</t>
  </si>
  <si>
    <t>1094F823-001</t>
  </si>
  <si>
    <t>CABLE W13</t>
  </si>
  <si>
    <t>1094F824-001</t>
  </si>
  <si>
    <t>CABLE W14</t>
  </si>
  <si>
    <t>1094F825-001</t>
  </si>
  <si>
    <t>CABLE W15</t>
  </si>
  <si>
    <t>1094F826-001</t>
  </si>
  <si>
    <t>CABLE W16</t>
  </si>
  <si>
    <t>1094F827-001</t>
  </si>
  <si>
    <t>CABLE W17</t>
  </si>
  <si>
    <t>1094F847-001</t>
  </si>
  <si>
    <t>1094F868-001</t>
  </si>
  <si>
    <t>1094F869-001</t>
  </si>
  <si>
    <t>1094F874-001</t>
  </si>
  <si>
    <t>1094F875-001</t>
  </si>
  <si>
    <t>1094F876-001</t>
  </si>
  <si>
    <t>1094F897-001</t>
  </si>
  <si>
    <t>1094F898-001</t>
  </si>
  <si>
    <t>1094H845-001</t>
  </si>
  <si>
    <t>DESICCANT BLOCK (SOCD)</t>
  </si>
  <si>
    <t>YAIL NOA</t>
  </si>
  <si>
    <t>EFRAT ZAHOR</t>
  </si>
  <si>
    <t>972.3.5509148</t>
  </si>
  <si>
    <t>efrat.zahor@yail-noa.co.il</t>
  </si>
  <si>
    <t>1094J275-001</t>
  </si>
  <si>
    <t>1094J281-001</t>
  </si>
  <si>
    <t>WASHER</t>
  </si>
  <si>
    <t>1094J287-001</t>
  </si>
  <si>
    <t>1094K661-001</t>
  </si>
  <si>
    <t>W18-ANT CAL</t>
  </si>
  <si>
    <t>1094K662-001</t>
  </si>
  <si>
    <t>W19- RF TEST</t>
  </si>
  <si>
    <t>1094K734-001</t>
  </si>
  <si>
    <t>B-DUCT COVER LARGE ASSY</t>
  </si>
  <si>
    <t>1094K755-001</t>
  </si>
  <si>
    <t>B-DUCT COVER SMALL ASSY</t>
  </si>
  <si>
    <t>1094Y676-001</t>
  </si>
  <si>
    <t>COM EXP BRACKET</t>
  </si>
  <si>
    <t>1094Y679-001</t>
  </si>
  <si>
    <t>SMALL COVER</t>
  </si>
  <si>
    <t>1094Y682-001</t>
  </si>
  <si>
    <t>1094Y683-001</t>
  </si>
  <si>
    <t>SMR DC COVER MACH WITH HS</t>
  </si>
  <si>
    <t>1094Y686-001</t>
  </si>
  <si>
    <t>RF ADAPTER F/ASSY</t>
  </si>
  <si>
    <t>1094Y691-001</t>
  </si>
  <si>
    <t>NAME PLATE FOR RF ADAPTOR</t>
  </si>
  <si>
    <t>1094Y692-001</t>
  </si>
  <si>
    <t>BASE</t>
  </si>
  <si>
    <t>1094Y693-001</t>
  </si>
  <si>
    <t>S/R CABLE</t>
  </si>
  <si>
    <t>1096L950-001</t>
  </si>
  <si>
    <t>SMR BASE LEFT ABSORBER ASSY</t>
  </si>
  <si>
    <t>1096L953-001</t>
  </si>
  <si>
    <t>1096L954-001</t>
  </si>
  <si>
    <t>LOCK WASHER</t>
  </si>
  <si>
    <t>1096L955-001</t>
  </si>
  <si>
    <t>LABEL KIT FOR CONNECTORS</t>
  </si>
  <si>
    <t>אין שרטוט</t>
  </si>
  <si>
    <t>1096L960-001</t>
  </si>
  <si>
    <t>SMR BASE RIGHT ABSORBER ASSY</t>
  </si>
  <si>
    <t>1096L964-001</t>
  </si>
  <si>
    <t>NAME PLATE</t>
  </si>
  <si>
    <t>1096L965-001</t>
  </si>
  <si>
    <t>1099E950-001</t>
  </si>
  <si>
    <t>SHLK. ANT. FINAL ASSEMBLY. GREEN OLIVE.</t>
  </si>
  <si>
    <t>1469074-1</t>
  </si>
  <si>
    <t>CONN RECT HEADER ASSY, 40 PAIR, HMZD,</t>
  </si>
  <si>
    <t>TYCO ELECTRONICS</t>
  </si>
  <si>
    <t>Future</t>
  </si>
  <si>
    <t>1469362-1</t>
  </si>
  <si>
    <t>CONN RECT RECEPT 40 DIFFERTIAL PAIRS,</t>
  </si>
  <si>
    <t>19S732-K04S5</t>
  </si>
  <si>
    <t>CONN RF ADAPTER SMA(F)/SMP(M)SMOOTH BORE</t>
  </si>
  <si>
    <t>2082-6040-03</t>
  </si>
  <si>
    <t>N80404452</t>
  </si>
  <si>
    <t>FFF008896</t>
  </si>
  <si>
    <t>ATTENUATOR DC-18GHZ 3DB .5WATT 50 OH</t>
  </si>
  <si>
    <t>XMA CORPORATION</t>
  </si>
  <si>
    <t>21-16.54</t>
  </si>
  <si>
    <t>EMI FILTER PAD FOR D38999/24G16PN 100NF</t>
  </si>
  <si>
    <t>QUELL</t>
  </si>
  <si>
    <t>ASTUTE ELECTRONICS LTD CQ717</t>
  </si>
  <si>
    <t>Lee Booker​​​​</t>
  </si>
  <si>
    <t>T: +44 (0)1438 909909</t>
  </si>
  <si>
    <t>Lee.Booker@astutegroup.com</t>
  </si>
  <si>
    <t>A/R</t>
  </si>
  <si>
    <t>60-3/4IN36YD</t>
  </si>
  <si>
    <t>TAPE ADHESIVE,ELECTRICAL INSULATION, TEF</t>
  </si>
  <si>
    <t>3M COMPANY</t>
  </si>
  <si>
    <t>Focus</t>
  </si>
  <si>
    <t>6930B621-002</t>
  </si>
  <si>
    <t>PC ASSY SMR  5W</t>
  </si>
  <si>
    <t>SMR GROUP LEFT</t>
  </si>
  <si>
    <t>6931A081-001</t>
  </si>
  <si>
    <t>NAME PLATE SMR GROUP LEFT</t>
  </si>
  <si>
    <t>SMR GROUP RIGHT</t>
  </si>
  <si>
    <t>6931A091-001</t>
  </si>
  <si>
    <t>NAME PLATE SMR GROUP RIGHT</t>
  </si>
  <si>
    <t>ANTENNA CONTROLLER FINAL ASSY</t>
  </si>
  <si>
    <t>6931A201-001</t>
  </si>
  <si>
    <t>6931A250-001</t>
  </si>
  <si>
    <t>POWER SUPPLY</t>
  </si>
  <si>
    <t>6931A350-001</t>
  </si>
  <si>
    <t>OSCILLATOR (OSC)</t>
  </si>
  <si>
    <t>6931A400-001</t>
  </si>
  <si>
    <t>COMBINER</t>
  </si>
  <si>
    <t>FAN UNIT (INCLUDES 6 FANS)</t>
  </si>
  <si>
    <t>6931A451-001</t>
  </si>
  <si>
    <t>A-A-52080-B-3 BLACK</t>
  </si>
  <si>
    <t>FFF016582</t>
  </si>
  <si>
    <t>Wire Master</t>
  </si>
  <si>
    <t>ADT-2793-TF-SMF-02</t>
  </si>
  <si>
    <t>N65873648</t>
  </si>
  <si>
    <t>FFF006107</t>
  </si>
  <si>
    <t>ADAPTER BETWEEN TNC(J) TO SMA(J) BUL</t>
  </si>
  <si>
    <t>CINCH CONNECTIVITY SOLUTIONS LTD</t>
  </si>
  <si>
    <t>Unified</t>
  </si>
  <si>
    <t>AS21919WDG05</t>
  </si>
  <si>
    <t>CLAMP LOOP TYPE CUSHIONED WEDGE SIDE LUG</t>
  </si>
  <si>
    <t>S.A.E. INTERNATIONAL</t>
  </si>
  <si>
    <t>kaytech</t>
  </si>
  <si>
    <t>ATT-0290-10-SMA-02</t>
  </si>
  <si>
    <t>N80418445</t>
  </si>
  <si>
    <t>FFF008880</t>
  </si>
  <si>
    <t>ATTENUATOR DC-18GHZ 10DB 2WATT SMA</t>
  </si>
  <si>
    <t>BACS38K4</t>
  </si>
  <si>
    <t>N87500393</t>
  </si>
  <si>
    <t>HARDWARE   CABLE TIE</t>
  </si>
  <si>
    <t>BOEING COMMERCIAL AIRPLANES GROUP</t>
  </si>
  <si>
    <t>BLD5000/01</t>
  </si>
  <si>
    <t>HUMIDITY INDICATOR,RELATIVE,30 &amp; 50% LEV</t>
  </si>
  <si>
    <t>BROWNELL LTD</t>
  </si>
  <si>
    <t>GALIT YIRMIYAHU</t>
  </si>
  <si>
    <t>972-3-5509148</t>
  </si>
  <si>
    <t>GALIT.YIRMIYAHU@YAIL-NOA.CO.IL</t>
  </si>
  <si>
    <t>C0402C104K4RACTU</t>
  </si>
  <si>
    <t>CHIP CAP 0.1UF 10% 16V X7R T&amp;R</t>
  </si>
  <si>
    <t>TTI</t>
  </si>
  <si>
    <t>CRCW0402100RFKTD</t>
  </si>
  <si>
    <t>CHIP RESIS 100 OHM 1% .063W T&amp;R</t>
  </si>
  <si>
    <t>CRCW04021K00FKTD</t>
  </si>
  <si>
    <t>CHIP RESIS 1KOHM 1% .063W T&amp;R</t>
  </si>
  <si>
    <t>D38999/33W17N</t>
  </si>
  <si>
    <t>N71211742</t>
  </si>
  <si>
    <t>CONN CIRC DUST CAP F/RECP 17-SHL OLI</t>
  </si>
  <si>
    <t>ELECTRO ENTERPRISES</t>
  </si>
  <si>
    <t>Sarit Talmi</t>
  </si>
  <si>
    <t>972.52.4541141</t>
  </si>
  <si>
    <t>sarit@electro-ny.com</t>
  </si>
  <si>
    <t>DC1M-04GD31W1DR</t>
  </si>
  <si>
    <t>COMPACT FLASH 4GB INDUSTRIAL - EXTENDED</t>
  </si>
  <si>
    <t>DS26LV31TMX</t>
  </si>
  <si>
    <t>IC QUAD DIFF LINE DRVIVER T&amp;R</t>
  </si>
  <si>
    <t>TEXAS INSTRUMENTS</t>
  </si>
  <si>
    <t>AGREEMENT-DS26LV31TMX/NOPB‏‏</t>
  </si>
  <si>
    <t>DS26LV32ATMX/NOPB</t>
  </si>
  <si>
    <t>IC QUAD DIFF LINE RECEIVER T&amp;R</t>
  </si>
  <si>
    <t>FT1033-2L</t>
  </si>
  <si>
    <t>BUY3</t>
  </si>
  <si>
    <t>FASTENER TECHNOLOGY CORP.</t>
  </si>
  <si>
    <t>FT1737HS-8-8-A</t>
  </si>
  <si>
    <t>LPMM-S2</t>
  </si>
  <si>
    <t>N87802088</t>
  </si>
  <si>
    <t>HARDWARE   LOW PROFILE  MOUNTS SCREW</t>
  </si>
  <si>
    <t>PANDUIT</t>
  </si>
  <si>
    <t>LZ28-1</t>
  </si>
  <si>
    <t>N39317318</t>
  </si>
  <si>
    <t>GUARD GRILLE,FAN SIZE 60X60,FOUR 4MM DIA</t>
  </si>
  <si>
    <t>EBMPAPST</t>
  </si>
  <si>
    <t>Arrow Israel</t>
  </si>
  <si>
    <t>M24308/26-1F</t>
  </si>
  <si>
    <t>N64907355</t>
  </si>
  <si>
    <t>FFF005472</t>
  </si>
  <si>
    <t>CONN RECT,MINIATURE,SCREW LOCK FEMALE</t>
  </si>
  <si>
    <t>MS15795-802</t>
  </si>
  <si>
    <t>WASHER FLAT METAL ROUND GENERAL PURP</t>
  </si>
  <si>
    <t>QPA</t>
  </si>
  <si>
    <t>MS15795-803</t>
  </si>
  <si>
    <t>MS15795-805</t>
  </si>
  <si>
    <t>WASHER,FLAT,ROUND,GENERAL PURPOSE,CRES,P</t>
  </si>
  <si>
    <t>MS15795-807</t>
  </si>
  <si>
    <t>MS16995-10</t>
  </si>
  <si>
    <t>MS16996-10</t>
  </si>
  <si>
    <t>MS24693-C25</t>
  </si>
  <si>
    <t>MS24693-C26</t>
  </si>
  <si>
    <t>MS24693-C49</t>
  </si>
  <si>
    <t>MS3367-5-9</t>
  </si>
  <si>
    <t>N87500740</t>
  </si>
  <si>
    <t>FFF009282</t>
  </si>
  <si>
    <t>HARDWARE   CABLE TIE NATURAL</t>
  </si>
  <si>
    <t>MS3367-7-9</t>
  </si>
  <si>
    <t>N87500096</t>
  </si>
  <si>
    <t>FFF009272</t>
  </si>
  <si>
    <t>HARDWARE   CABLE TIE    CLAMP</t>
  </si>
  <si>
    <t>MS35338-138</t>
  </si>
  <si>
    <t>MS51957-10</t>
  </si>
  <si>
    <t>MS51957-17</t>
  </si>
  <si>
    <t>MS51957-19</t>
  </si>
  <si>
    <t>MS51957-22</t>
  </si>
  <si>
    <t>MS51957-26</t>
  </si>
  <si>
    <t>MS51957-27</t>
  </si>
  <si>
    <t>MS51957-33</t>
  </si>
  <si>
    <t>MS51957-4</t>
  </si>
  <si>
    <t>MS51957-7</t>
  </si>
  <si>
    <t>MS51957-9</t>
  </si>
  <si>
    <t>NAS1352C02-5</t>
  </si>
  <si>
    <t>NAS1352C04-12</t>
  </si>
  <si>
    <t>NAS1352C08-10</t>
  </si>
  <si>
    <t>NAS1352C08-7</t>
  </si>
  <si>
    <t>NAS620-10</t>
  </si>
  <si>
    <t>WASHER,FLAT,PLAIN,REDUCED OD,#10 SIZE,.0</t>
  </si>
  <si>
    <t>NAS620-6</t>
  </si>
  <si>
    <t>WASHER FLAT PLAIN REDUCED OD #6 SIZE .03</t>
  </si>
  <si>
    <t>NAS662C2R3</t>
  </si>
  <si>
    <t>PSOT03C-LF-T7</t>
  </si>
  <si>
    <t>DIODE TRANSIENT VOLTAGE SUUPPRESSOR T&amp;R</t>
  </si>
  <si>
    <t>Seamax</t>
  </si>
  <si>
    <t>PTL-10-426</t>
  </si>
  <si>
    <t>LABEL POLYIMIDE 0.75INX0.25IN</t>
  </si>
  <si>
    <t>Alltronix</t>
  </si>
  <si>
    <t>BUY ALT- M6-10-724</t>
  </si>
  <si>
    <t>R191.843.401</t>
  </si>
  <si>
    <t>CONN CIRC ADAPTER RF  SMA(F) - SMP(M),</t>
  </si>
  <si>
    <t>RADIALL</t>
  </si>
  <si>
    <t>R222.723.110</t>
  </si>
  <si>
    <t>CONN RF ADAPTER SMP (F) / SMP (F) SPRING</t>
  </si>
  <si>
    <t>AVDOR</t>
  </si>
  <si>
    <t>Gilad Daniel</t>
  </si>
  <si>
    <t>972.52.6484400</t>
  </si>
  <si>
    <t>gilad@avdor.com</t>
  </si>
  <si>
    <t>R222.723.220</t>
  </si>
  <si>
    <t>R404N05000</t>
  </si>
  <si>
    <t>FFF008969</t>
  </si>
  <si>
    <t>CONN,RF,TERMINATION DC-18GHZ,1W,SMA(M)</t>
  </si>
  <si>
    <t>SMDA03LCC-LF-T7</t>
  </si>
  <si>
    <t>TRAN. VOLT. SUPPR.  ARRAY T&amp;R</t>
  </si>
  <si>
    <t>PANDUIT CORPORATION</t>
  </si>
  <si>
    <t>TM2S6</t>
  </si>
  <si>
    <t>N87500856</t>
  </si>
  <si>
    <t>FFF009284</t>
  </si>
  <si>
    <t>HARDWARE   CABLE TIE MOUNT</t>
  </si>
  <si>
    <t>TM2S8</t>
  </si>
  <si>
    <t>N87500252</t>
  </si>
  <si>
    <t>FFF009273</t>
  </si>
  <si>
    <t>TIE MOUNT</t>
  </si>
  <si>
    <t>TRM-2107-MC-TNC-02</t>
  </si>
  <si>
    <t>N80702939</t>
  </si>
  <si>
    <t>FFF008964</t>
  </si>
  <si>
    <t>TERMINATION TNC PLUG DC-12.4GHZ</t>
  </si>
  <si>
    <t>amcomp</t>
  </si>
  <si>
    <t>Tali Shlomo</t>
  </si>
  <si>
    <t>972.9.7783009</t>
  </si>
  <si>
    <t>tali@amcomp.co.il</t>
  </si>
  <si>
    <t>TVBJW-13-35SPA</t>
  </si>
  <si>
    <t>CONN,CIRC,TU THRU BULKHEAD ASSY.,22 _22,</t>
  </si>
  <si>
    <t>AMPHENOL LTD</t>
  </si>
  <si>
    <t>Amphenol UK</t>
  </si>
  <si>
    <t>HEN MAN</t>
  </si>
  <si>
    <t>ZB4PD-42-S+</t>
  </si>
  <si>
    <t>4-WAY SMA POWER SPLITTER 1.7-4.2GHZ</t>
  </si>
  <si>
    <t>CN</t>
  </si>
  <si>
    <t>סווג FFF</t>
  </si>
  <si>
    <t>PN</t>
  </si>
  <si>
    <t>PRIMARY</t>
  </si>
  <si>
    <t>NUT,RETAINER,FOR CAPTIVE SCREW ASSEMBLY,</t>
  </si>
  <si>
    <t>D791639-10-B</t>
  </si>
  <si>
    <t>CONN RF GPO</t>
  </si>
  <si>
    <t>A1A1-0001-01</t>
  </si>
  <si>
    <t>ADAPTER RF SMP STR FEMALE / FEMALE,</t>
  </si>
  <si>
    <t>R222.705.000</t>
  </si>
  <si>
    <t>N65719767</t>
  </si>
  <si>
    <t>CONN RF GPO BLIND MATE</t>
  </si>
  <si>
    <t>0119-945-1</t>
  </si>
  <si>
    <t>CONN RF ADAPTER  BMA(F) TO SMA(F)</t>
  </si>
  <si>
    <t>34BMA-SMA-50-8/1-UE</t>
  </si>
  <si>
    <t>N65881385</t>
  </si>
  <si>
    <t>CONN RF ADAPTER BMA(F) TO SMA(F)</t>
  </si>
  <si>
    <t>34BMA-SMA-50-8</t>
  </si>
  <si>
    <t>C1206C105K3RALTM</t>
  </si>
  <si>
    <t>C1206C105K3RALTU</t>
  </si>
  <si>
    <t>C1206C105K3RACTM</t>
  </si>
  <si>
    <t>C1206C105K3RACTU</t>
  </si>
  <si>
    <t>CHIP CAP 1UF 10% 25VOLT  X7R T&amp;R</t>
  </si>
  <si>
    <t>C1206C105K3RAL7025</t>
  </si>
  <si>
    <t>C1206C105K3RAL7800</t>
  </si>
  <si>
    <t>C1206C105K3RAC7025</t>
  </si>
  <si>
    <t>N62169016</t>
  </si>
  <si>
    <t>CHIP CAP 1UF 10% 25VOLT 126X63 X7R N</t>
  </si>
  <si>
    <t>C1206C105K3RAC</t>
  </si>
  <si>
    <t>N62175468</t>
  </si>
  <si>
    <t>CHIP CAP 1UF +80-20% 25VOLT 125X63 Y</t>
  </si>
  <si>
    <t>C1206C105Z3VAC</t>
  </si>
  <si>
    <t>N62175682</t>
  </si>
  <si>
    <t>C1206C105K3RAC/TR</t>
  </si>
  <si>
    <t>CHIP JUMPER 1X0.5MM T&amp;R</t>
  </si>
  <si>
    <t>D101000R0P0</t>
  </si>
  <si>
    <t>CRCW04020000ZSTD</t>
  </si>
  <si>
    <t>CRCW04020000Z0ED</t>
  </si>
  <si>
    <t>CR0402-J/-000GLF</t>
  </si>
  <si>
    <t>N62067962</t>
  </si>
  <si>
    <t>CHIP RESIS 0 OHM 5% .063WATT 1.0X0.5</t>
  </si>
  <si>
    <t>MCR01MZSJ000</t>
  </si>
  <si>
    <t>N62079132</t>
  </si>
  <si>
    <t>CRCW0402000ZZRT7</t>
  </si>
  <si>
    <t>N62081245</t>
  </si>
  <si>
    <t>CHIP JUMPER  .063WATT 1X0.5MM TAPE/R</t>
  </si>
  <si>
    <t>D10100000ZZP0</t>
  </si>
  <si>
    <t>N62087572</t>
  </si>
  <si>
    <t>CHIP JUMPER 1X0.5MM TAPE/REEL</t>
  </si>
  <si>
    <t>D101000000ZP0</t>
  </si>
  <si>
    <t>N62884978</t>
  </si>
  <si>
    <t>CHIP JUMPER 39X20 10000EA/RL</t>
  </si>
  <si>
    <t>CJ05-000-H</t>
  </si>
  <si>
    <t>N63031009</t>
  </si>
  <si>
    <t>D10100000R1%P0</t>
  </si>
  <si>
    <t>CRCW0402100RFKED</t>
  </si>
  <si>
    <t>CHIP RESIS 100 OHM 1%  T&amp;R</t>
  </si>
  <si>
    <t>CR0402-FX-1000GLF</t>
  </si>
  <si>
    <t>N62084603</t>
  </si>
  <si>
    <t>CHIP RESIS 100 OHM 1% 0.063WATT 1X0.</t>
  </si>
  <si>
    <t>D10100100R1%P0</t>
  </si>
  <si>
    <t>CRCW0402243RFKTD</t>
  </si>
  <si>
    <t>CR0402-FX-2430GLF</t>
  </si>
  <si>
    <t>N62063086</t>
  </si>
  <si>
    <t>CHIP RESIS 243 OHM 1% .063WATT 1X0.5</t>
  </si>
  <si>
    <t>D10100243R1%P0</t>
  </si>
  <si>
    <t>CRCW040224R3FKTD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</si>
  <si>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</si>
  <si>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</si>
  <si>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</si>
  <si>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</si>
  <si>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</si>
  <si>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</si>
  <si>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</si>
  <si>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CRCW040230R1FKTD</t>
  </si>
  <si>
    <t>CR0402-FX-30R1GLF</t>
  </si>
  <si>
    <t>CHIP RESIS 30.1 OHM 1% .0625W T&amp;R</t>
  </si>
  <si>
    <t>RC0402FR-0730R1L</t>
  </si>
  <si>
    <t>N62075239</t>
  </si>
  <si>
    <t>CHIP RESIS 30.1 OHM 1% 0.063WATT 1X0</t>
  </si>
  <si>
    <t>D1010030R11%P0</t>
  </si>
  <si>
    <t>C0402C100C5GALTU</t>
  </si>
  <si>
    <t>C0402C100C5GACTU</t>
  </si>
  <si>
    <t>C0402C100C5GAL7867</t>
  </si>
  <si>
    <t>0402NPO100CT2AT</t>
  </si>
  <si>
    <t>GRM1555C1H100GA01D</t>
  </si>
  <si>
    <t>CL05C100CB5NNNC</t>
  </si>
  <si>
    <t>CC0402CRNPO9BN100</t>
  </si>
  <si>
    <t>N62177241</t>
  </si>
  <si>
    <t>CHIP CAP 10PF +-0.25PF 50VOLT 1X0.5M</t>
  </si>
  <si>
    <t>C0402C100C5GAC/TR</t>
  </si>
  <si>
    <t>CHIP CAP 100PF 5% 25V C0G T&amp;R</t>
  </si>
  <si>
    <t>C0402C101J3GALTU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</si>
  <si>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</si>
  <si>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</si>
  <si>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</si>
  <si>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</si>
  <si>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</si>
  <si>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</si>
  <si>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N62195896</t>
  </si>
  <si>
    <t>CHIP CAP 100PF 5% 25VOLT 1X0.5MM C</t>
  </si>
  <si>
    <t>C0402C101J3GAC/TR</t>
  </si>
  <si>
    <t>CHIP CAP 1000PF 10% 50V X7R T&amp;R</t>
  </si>
  <si>
    <t>C0402C102K5RAL/TR</t>
  </si>
  <si>
    <t>C0402C102K5RALTU</t>
  </si>
  <si>
    <t>C0402C102K5RACTU</t>
  </si>
  <si>
    <t>CHIP CAP 1000PF 10% 50VOLT  X7R T&amp;R</t>
  </si>
  <si>
    <t>C0402C102K5RAL7867</t>
  </si>
  <si>
    <t>0402X7R102KT2AT</t>
  </si>
  <si>
    <t>CL05B102KB5NNNC</t>
  </si>
  <si>
    <t>CC0402KRX7R9BN102</t>
  </si>
  <si>
    <t>GRM155R71H102KA01D</t>
  </si>
  <si>
    <t>N62170980</t>
  </si>
  <si>
    <t>CHIP CAP 1000PF 10% 50VOLT 40X20 X7R</t>
  </si>
  <si>
    <t>C0402C102K5RAC/TR</t>
  </si>
  <si>
    <t>CHIP CAP 0.01UF 10% 25V X7R</t>
  </si>
  <si>
    <t>VJ0402Y103KXXAC</t>
  </si>
  <si>
    <t>CHIP CAP 0.01UF 10% 25V X7R T&amp;R</t>
  </si>
  <si>
    <t>C0402C103K3RAL/TR</t>
  </si>
  <si>
    <t>C0402C103K3RALTU</t>
  </si>
  <si>
    <t>C0402C103K3RACTU</t>
  </si>
  <si>
    <t>C0402C103K3RAL7867</t>
  </si>
  <si>
    <t>GRM155R71E103KA01D</t>
  </si>
  <si>
    <t>C0402C103K3RAC7411</t>
  </si>
  <si>
    <t>0402X7R103KT1AT</t>
  </si>
  <si>
    <t>CL05B103KA5NNNC</t>
  </si>
  <si>
    <t>CC0402KRX7R8BN103</t>
  </si>
  <si>
    <t>N62140587</t>
  </si>
  <si>
    <t>CHIP CAP 0.01UF 10% 25VOLT 40X20 X7R</t>
  </si>
  <si>
    <t>C0402C103K3RAC/TR</t>
  </si>
  <si>
    <t>CHIP CAP 0.1UF 10% 16V X7R T/R</t>
  </si>
  <si>
    <t>C0402C104K4RAC/TR</t>
  </si>
  <si>
    <t>C0402C104K4RALTU</t>
  </si>
  <si>
    <t>C0402C104K4RAL7867</t>
  </si>
  <si>
    <t>C0402C104K4RAC7867</t>
  </si>
  <si>
    <t>EMK105B7104KV-F</t>
  </si>
  <si>
    <t>CHIP CAP .1UF 10% 16V X7R T&amp;R</t>
  </si>
  <si>
    <t>0402YC104KAT2A</t>
  </si>
  <si>
    <t>CC0402KRX7R7BB104</t>
  </si>
  <si>
    <t>0402X7R104KT7AT</t>
  </si>
  <si>
    <t>CL05B104KO5NNNC</t>
  </si>
  <si>
    <t>C0603C560G5GALTU</t>
  </si>
  <si>
    <t>C0603C560G5GAL7867</t>
  </si>
  <si>
    <t>C0603C560G5GAC7867</t>
  </si>
  <si>
    <t>N62149653</t>
  </si>
  <si>
    <t>CHIP CAP 56PF 2% 50VOLT 63X32 COG NI</t>
  </si>
  <si>
    <t>C0603C560G5GAC/TR</t>
  </si>
  <si>
    <t>N62162086</t>
  </si>
  <si>
    <t>CHIP CAP 56PF 2% 50VOLT 63X32MIL NPO</t>
  </si>
  <si>
    <t>06035A560GAT2A</t>
  </si>
  <si>
    <t>WASHER,LOCK,HELICAL SPRING,REGULAR (</t>
  </si>
  <si>
    <t>5310-00-933-8119</t>
  </si>
  <si>
    <t>WASHER LOCK-SPRING HELICAL REGULAR (</t>
  </si>
  <si>
    <t>AA55610-137</t>
  </si>
  <si>
    <t>T491D107K010AH</t>
  </si>
  <si>
    <t>T491D107K010AT</t>
  </si>
  <si>
    <t>TAJD107K010RNJ</t>
  </si>
  <si>
    <t>N62108519</t>
  </si>
  <si>
    <t>CHIP CAP 100UF 10% 10VOLT 287X169 TA</t>
  </si>
  <si>
    <t>T491D107K010AS</t>
  </si>
  <si>
    <t>T491A106K010AT</t>
  </si>
  <si>
    <t>T491A106K010AH</t>
  </si>
  <si>
    <t>N62149273</t>
  </si>
  <si>
    <t>CHIP CAP 10UF 10% 10VOLT 126X63 TANT</t>
  </si>
  <si>
    <t>T491A106K010AS</t>
  </si>
  <si>
    <t>T491A475K016AH</t>
  </si>
  <si>
    <t>T491A475K016AT</t>
  </si>
  <si>
    <t>N62150404</t>
  </si>
  <si>
    <t>CHIP CAP 4.7UF 10% 16VOLT 126X63 TAN</t>
  </si>
  <si>
    <t>T491A475K016AS</t>
  </si>
  <si>
    <t>C0402C104K8RAL/TR</t>
  </si>
  <si>
    <t>C0402C104K8RALTU</t>
  </si>
  <si>
    <t>C0402C104K8RACTU</t>
  </si>
  <si>
    <t>C0402C104K8RAL7867</t>
  </si>
  <si>
    <t>C0402C104K8RAC7867</t>
  </si>
  <si>
    <t>C0402C103K4RAL7867</t>
  </si>
  <si>
    <t>C0402C109C5GAC/TR</t>
  </si>
  <si>
    <t>C0402C109C5GALTU</t>
  </si>
  <si>
    <t>C0402C109C5GAL7867</t>
  </si>
  <si>
    <t>CHIP CAP 330PF 10% 50V X7R T&amp;R</t>
  </si>
  <si>
    <t>C0402C331K5RALTU</t>
  </si>
  <si>
    <t>C0402C331K5RAC7867</t>
  </si>
  <si>
    <t>C0402C331K5RAL7867</t>
  </si>
  <si>
    <t>C0402C331K5RACTU</t>
  </si>
  <si>
    <t>CHIP CAP 4.7PF 10% 50V C0G T&amp;R</t>
  </si>
  <si>
    <t>C0402C479K5GAC/TR</t>
  </si>
  <si>
    <t>C0402C479K5GAL7867</t>
  </si>
  <si>
    <t>C0402C479K5GALTU</t>
  </si>
  <si>
    <t>CHIP CAP 4.7PF +-0.5PF 50V C0G T&amp;R</t>
  </si>
  <si>
    <t>C0402C479D5GACTU</t>
  </si>
  <si>
    <t>GJM1555C1H4R7CB01D</t>
  </si>
  <si>
    <t>C0603C104K5RAC</t>
  </si>
  <si>
    <t>C0603C104K5RAC/TR</t>
  </si>
  <si>
    <t>C0603C104K5RALTU</t>
  </si>
  <si>
    <t>CHIP CAP .1UF 10% 50V X7R T&amp;R</t>
  </si>
  <si>
    <t>C0603C104K5RACTU</t>
  </si>
  <si>
    <t>C0603C104K5RAL7867</t>
  </si>
  <si>
    <t>CHIP CAP 0.1UF 50V X7R T&amp;R</t>
  </si>
  <si>
    <t>GRM188R71H104KA93D</t>
  </si>
  <si>
    <t>UMK107B7104KAHT</t>
  </si>
  <si>
    <t>CGA3E2X7R1H104K080AA</t>
  </si>
  <si>
    <t>C1608X7R1H104K080AA</t>
  </si>
  <si>
    <t>C0603X104K5RAC7867</t>
  </si>
  <si>
    <t>CC0603KRX7R9BB104</t>
  </si>
  <si>
    <t>C0603C104K5RACAUTO</t>
  </si>
  <si>
    <t>0603X7R104KT2AT</t>
  </si>
  <si>
    <t>C0603C104K5RAC7411</t>
  </si>
  <si>
    <t>CL10B104KB8NNNC</t>
  </si>
  <si>
    <t>OPTOCOUPLER 2-CHANNEL 3.75KV</t>
  </si>
  <si>
    <t>HCPL-063L-000E</t>
  </si>
  <si>
    <t>N56326382</t>
  </si>
  <si>
    <t>OPTOCOUPLER</t>
  </si>
  <si>
    <t>HCPL-063L</t>
  </si>
  <si>
    <t>SMMBT2222ALT1G</t>
  </si>
  <si>
    <t>N54215025</t>
  </si>
  <si>
    <t>TRANSISTOR  2N2222A NPN   T&amp;R</t>
  </si>
  <si>
    <t>MMBT2222ALT1</t>
  </si>
  <si>
    <t>AM26LV31ESDREP</t>
  </si>
  <si>
    <t>DS26LV31TMX/NOPB</t>
  </si>
  <si>
    <t>IC QUAD LINE DRIVER T&amp;R</t>
  </si>
  <si>
    <t>N60152543</t>
  </si>
  <si>
    <t>IC INTFACE 3V, QUAD LINE DRV DIFF IN</t>
  </si>
  <si>
    <t>DS26LV31TM</t>
  </si>
  <si>
    <t>N62717855</t>
  </si>
  <si>
    <t>CHIP ATT. 1DB DC-18GHZ 60X75MIL .1WA</t>
  </si>
  <si>
    <t>TS0501W3S</t>
  </si>
  <si>
    <t>DS26LV32ATMX</t>
  </si>
  <si>
    <t>AM26LV32EMDREP</t>
  </si>
  <si>
    <t>IC INTFACE 3V, QUAD LINE REC DIFF IN</t>
  </si>
  <si>
    <t>DS26LV32ATM/NOPB</t>
  </si>
  <si>
    <t>IC QUAD DIFFERENTIAL LINE RECEIVER T&amp;R</t>
  </si>
  <si>
    <t>N60416302</t>
  </si>
  <si>
    <t>DS26LV32ATM</t>
  </si>
  <si>
    <t>IC QUAD DIFF LINE DRIVER 3S T&amp;R</t>
  </si>
  <si>
    <t>DS26C31TMX</t>
  </si>
  <si>
    <t>N60117926</t>
  </si>
  <si>
    <t>IC INTFACE QUAD DIFF LINE DRIVER 3S</t>
  </si>
  <si>
    <t>DS26C31TM</t>
  </si>
  <si>
    <t>DIODE TRANSIENT VOLTAGE SUUPPRESSOR</t>
  </si>
  <si>
    <t>PSOT03C</t>
  </si>
  <si>
    <t>N57125130</t>
  </si>
  <si>
    <t>IC DIG 2 IN AND GATE  250EA/RL</t>
  </si>
  <si>
    <t>NC7SZ08M5</t>
  </si>
  <si>
    <t>N57140642</t>
  </si>
  <si>
    <t>NC7SZ08M5X</t>
  </si>
  <si>
    <t>HARDWARE CABLE TIE MOUNT SCREW MOUNT,</t>
  </si>
  <si>
    <t>TM1S4-M</t>
  </si>
  <si>
    <t>N87500468</t>
  </si>
  <si>
    <t>HARDWARE   MOUNTING</t>
  </si>
  <si>
    <t>TM1S4</t>
  </si>
  <si>
    <t>SCREW CAP SOCKET HEAD COARSE THREAD</t>
  </si>
  <si>
    <t>20098-94C12</t>
  </si>
  <si>
    <t>N87501516</t>
  </si>
  <si>
    <t>HARDWARE   CABLE TIE MOUNTING BASE 4</t>
  </si>
  <si>
    <t>ABM1M-A</t>
  </si>
  <si>
    <t>N87505152</t>
  </si>
  <si>
    <t>meteWARE   CABLE TIE MOUNTING BASE 4</t>
  </si>
  <si>
    <t>ABM1M-AT-C</t>
  </si>
  <si>
    <t>C0402C103K5RAL7867</t>
  </si>
  <si>
    <t>C0402C103K5RAC7867</t>
  </si>
  <si>
    <t>C0402C103K5RACTU</t>
  </si>
  <si>
    <t>C0402C103K5RACAUTO</t>
  </si>
  <si>
    <t>CL05B103KB5NNNC</t>
  </si>
  <si>
    <t>CC0402KRX7R9BB103</t>
  </si>
  <si>
    <t>N48370241</t>
  </si>
  <si>
    <t>DIODE REF 5.1V 5% 3000EA/RL SOD323-P</t>
  </si>
  <si>
    <t>MM3Z5V1T1</t>
  </si>
  <si>
    <t>20098-92C-5</t>
  </si>
  <si>
    <t>N64247943</t>
  </si>
  <si>
    <t>RECT HEADER R/A 10 PIN DIP SOLDER</t>
  </si>
  <si>
    <t>2510-5002-UB</t>
  </si>
  <si>
    <t>M6-10-724</t>
  </si>
  <si>
    <t>HIGH TEMPERATURE POLYIMIDE LABEL,SIZE</t>
  </si>
  <si>
    <t>PTL-10-724</t>
  </si>
  <si>
    <t>LABEL,CIRCUIT BOARD,SIZE 0.25x0.75IN,ULT</t>
  </si>
  <si>
    <t>LABEL POLYIMIDE FORMAT-3</t>
  </si>
  <si>
    <t>3-KG10F</t>
  </si>
  <si>
    <t>N51818870</t>
  </si>
  <si>
    <t>TRAN. VOLT. SUPPR.  TAPE&amp;REEL</t>
  </si>
  <si>
    <t>SMBJ24A/TR</t>
  </si>
  <si>
    <t>160060042R01</t>
  </si>
  <si>
    <t>DC1M-04GD31W1DB</t>
  </si>
  <si>
    <t>SCREW 100 DEGREE FLAT COUNTERSUNK HE</t>
  </si>
  <si>
    <t>MS24693-25</t>
  </si>
  <si>
    <t>MS24693-3</t>
  </si>
  <si>
    <t>MS24693-26</t>
  </si>
  <si>
    <t>MS24693-4</t>
  </si>
  <si>
    <t>CHIP RESIS 50-OHM 5% 1.5W T&amp;R</t>
  </si>
  <si>
    <t>S1206HBX500J10/TR</t>
  </si>
  <si>
    <t>20098-92C9</t>
  </si>
  <si>
    <t>20098-98C7</t>
  </si>
  <si>
    <t>C0805C475K4RAL7025</t>
  </si>
  <si>
    <t>C0805C475K4RACTU</t>
  </si>
  <si>
    <t>C0805C475K4RAC7800</t>
  </si>
  <si>
    <t>0805X7R475KT7AT</t>
  </si>
  <si>
    <t>CL21B475KOFNNNE</t>
  </si>
  <si>
    <t>N57127268</t>
  </si>
  <si>
    <t>IC DIGITAL   HEX INVERTER</t>
  </si>
  <si>
    <t>74ACT04SC</t>
  </si>
  <si>
    <t>CHIP CAP 10UF 10% 50V X7R T&amp;R</t>
  </si>
  <si>
    <t>C1210C106K5RAC7800</t>
  </si>
  <si>
    <t>GRM32ER71H106KA12L</t>
  </si>
  <si>
    <t>CL32B106KBJNNWE</t>
  </si>
  <si>
    <t>C1210C106K5RAL7025</t>
  </si>
  <si>
    <t>74LVTH16244ADGGRG4</t>
  </si>
  <si>
    <t>CHIP CAP 10PF 5% 150VOLT 55X55 PORCE</t>
  </si>
  <si>
    <t>AQ12EM100JAJME/500V</t>
  </si>
  <si>
    <t>100A100JT150XTV</t>
  </si>
  <si>
    <t>N62132063</t>
  </si>
  <si>
    <t>AQ12EM100JAJME/250V</t>
  </si>
  <si>
    <t>AQ12EM4R7BAJME/500V</t>
  </si>
  <si>
    <t>N62166194</t>
  </si>
  <si>
    <t>AQ12EM4R7BAJME/250V</t>
  </si>
  <si>
    <t>PTL-16-724</t>
  </si>
  <si>
    <t>SHAGUIPTL-16-724</t>
  </si>
  <si>
    <t>LEBELS</t>
  </si>
  <si>
    <t>PTL-9-426</t>
  </si>
  <si>
    <t>M6-9-724</t>
  </si>
  <si>
    <t>LABEL,CIRCUIT BOARD,SIZE 0.2x0.65IN,ULTR</t>
  </si>
  <si>
    <t>MS16995-27</t>
  </si>
  <si>
    <t>IC HST INVERTER T&amp;R</t>
  </si>
  <si>
    <t>NC7ST04P5X-L22057</t>
  </si>
  <si>
    <t>MC74ACT04DR2</t>
  </si>
  <si>
    <t>TRAN. VOLT. SUPPR.  ARRAY</t>
  </si>
  <si>
    <t>SMDA03LCC-LF</t>
  </si>
  <si>
    <t>R222.705.230</t>
  </si>
  <si>
    <t>MALE STRAIGHT RECEPTACLE FOR PCB T&amp;R</t>
  </si>
  <si>
    <t>R222.508.310</t>
  </si>
  <si>
    <t>ADAPTER BLHD ADAPT BMA(M) TO SMP(M),</t>
  </si>
  <si>
    <t>R191.811.100</t>
  </si>
  <si>
    <t>MALE STRAIGHT RECEPTACLE FOR PCB</t>
  </si>
  <si>
    <t>R222.428.310</t>
  </si>
  <si>
    <t>LTC2908IDDB-A1#PBF</t>
  </si>
  <si>
    <t>IC SW.SPDT NON-REFLECT DC-3.5GHZ MSOP8</t>
  </si>
  <si>
    <t>HMC284AMS8GE</t>
  </si>
  <si>
    <t>IC SPDT NON-REFLECTIVE SWITCH DC-3.5</t>
  </si>
  <si>
    <t>HMC284AMS8G</t>
  </si>
  <si>
    <t>N49267818</t>
  </si>
  <si>
    <t>MMBD4148</t>
  </si>
  <si>
    <t>N41439290</t>
  </si>
  <si>
    <t>5F-TERMINAL</t>
  </si>
  <si>
    <t>TRANSIENT SUPRESSOR 5V 600W TAPE&amp;REEL</t>
  </si>
  <si>
    <t>SMBJ5.0AE3T/R</t>
  </si>
  <si>
    <t>CHIP RESIS 10KOHM 1% .25W T&amp;R</t>
  </si>
  <si>
    <t>CRCW120610K0FKTA</t>
  </si>
  <si>
    <t xml:space="preserve"> RESISTOR 10 KOHM, 1%, 0.25W, T&amp;R</t>
  </si>
  <si>
    <t>CR1206-FX-1002ELF</t>
  </si>
  <si>
    <t>N62002753</t>
  </si>
  <si>
    <t>CHIP RESIS 10KOHM 1% .25WATT 3.20X1.</t>
  </si>
  <si>
    <t>D2510010K01%P5</t>
  </si>
  <si>
    <t>N63014385</t>
  </si>
  <si>
    <t>D25010KFCS</t>
  </si>
  <si>
    <t>CRCW060310K0FKTA</t>
  </si>
  <si>
    <t>CHIP RESIS 10KOHM 1% .063WATT 1.55X0</t>
  </si>
  <si>
    <t>CR0603-FX-1002ELF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</si>
  <si>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</si>
  <si>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</si>
  <si>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</si>
  <si>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</si>
  <si>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</si>
  <si>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</si>
  <si>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</si>
  <si>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</si>
  <si>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</si>
  <si>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N62072988</t>
  </si>
  <si>
    <t>CRCW06031002FRT1</t>
  </si>
  <si>
    <t>N62094875</t>
  </si>
  <si>
    <t>CHIP RESIS 10KOHM 1% 0.1W T&amp;R</t>
  </si>
  <si>
    <t>CR0603-FX-1002-E</t>
  </si>
  <si>
    <t>CRCW060324R9FKTA</t>
  </si>
  <si>
    <t>CR0603-FX-24R9ELF</t>
  </si>
  <si>
    <t>N62040456</t>
  </si>
  <si>
    <t>CHIP RESIS 24.9 OHM 1% .1WATT 1.55X0</t>
  </si>
  <si>
    <t>D1110024R91%P5</t>
  </si>
  <si>
    <t>N63043095</t>
  </si>
  <si>
    <t>D1124R9FCS</t>
  </si>
  <si>
    <t>CRCW060390K9FKEA</t>
  </si>
  <si>
    <t>N62040985</t>
  </si>
  <si>
    <t>CHIP RESIS 90.9KOHM 1% .1WATT 1.55X0</t>
  </si>
  <si>
    <t>D1110090K91%P5</t>
  </si>
  <si>
    <t>N62076633</t>
  </si>
  <si>
    <t>D1190K9FCS</t>
  </si>
  <si>
    <t>CRCW080512K1FKEA</t>
  </si>
  <si>
    <t>N62041256</t>
  </si>
  <si>
    <t>CHIP RESIS 12.1KOHM 1% .125WATT 2.00</t>
  </si>
  <si>
    <t>D1210012K11%P5</t>
  </si>
  <si>
    <t>N62064456</t>
  </si>
  <si>
    <t>D1212K1FCS</t>
  </si>
  <si>
    <t>CRCW0603110KFKEA</t>
  </si>
  <si>
    <t>N62041603</t>
  </si>
  <si>
    <t>CHIP RESIS 110KOHM 1% .1WATT 1.55X0.</t>
  </si>
  <si>
    <t>D11100110K1%P5</t>
  </si>
  <si>
    <t>CRCW06031K33FKTA</t>
  </si>
  <si>
    <t>N62041686</t>
  </si>
  <si>
    <t>CHIP RESIS 1.33KOHM 1% .1WATT 1.55X0</t>
  </si>
  <si>
    <t>D111001K331%P5</t>
  </si>
  <si>
    <t>CRCW060349R9FKTA</t>
  </si>
  <si>
    <t>CR0603-FX-49R9ELF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</si>
  <si>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</si>
  <si>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</si>
  <si>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</si>
  <si>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</si>
  <si>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</si>
  <si>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</si>
  <si>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</si>
  <si>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</si>
  <si>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CHIP RESIS 562KOHM 1% .1W T&amp;R</t>
  </si>
  <si>
    <t>CRCW0603562KFKEA</t>
  </si>
  <si>
    <t>N62043419</t>
  </si>
  <si>
    <t>CHIP RESIS 562KOHM 1% .1WATT 1.55X0.</t>
  </si>
  <si>
    <t>D11100562K1%P5</t>
  </si>
  <si>
    <t>N62071527</t>
  </si>
  <si>
    <t>D11562KFCS</t>
  </si>
  <si>
    <t>CHIP RESIS 23.2KOHM 1% .125W T&amp;R</t>
  </si>
  <si>
    <t>CRCW080523K2FKTA</t>
  </si>
  <si>
    <t>N62044003</t>
  </si>
  <si>
    <t>CHIP RESIS 23.2KOHM 1% .125WATT 2.00</t>
  </si>
  <si>
    <t>D1210023K21%P5</t>
  </si>
  <si>
    <t>N62064472</t>
  </si>
  <si>
    <t>D1223K2FCS</t>
  </si>
  <si>
    <t>CRCW0603825RFKTA</t>
  </si>
  <si>
    <t>CR0603-FX-8250-ELF</t>
  </si>
  <si>
    <t>N62045232</t>
  </si>
  <si>
    <t>CHIP RESIS 825 OHM 1% .1WATT 1.55X0.</t>
  </si>
  <si>
    <t>D11100825R1%P5</t>
  </si>
  <si>
    <t>N62083050</t>
  </si>
  <si>
    <t>D11825RFCS</t>
  </si>
  <si>
    <t>CRCW0603301RFKTA</t>
  </si>
  <si>
    <t>CR0603-FX-3010ELF</t>
  </si>
  <si>
    <t>N62045588</t>
  </si>
  <si>
    <t>CHIP RESIS 301 OHM 1% .1WATT 1.55X0.</t>
  </si>
  <si>
    <t>D11100301R1%P5</t>
  </si>
  <si>
    <t>N62088141</t>
  </si>
  <si>
    <t>CHIP RESIS 301 OHM 1% .1WATT 63X31MI</t>
  </si>
  <si>
    <t>CRCW06033010FRT1</t>
  </si>
  <si>
    <t>N63055248</t>
  </si>
  <si>
    <t>D11301RFCS</t>
  </si>
  <si>
    <t>CRCW0603825KFKEA</t>
  </si>
  <si>
    <t>N62045620</t>
  </si>
  <si>
    <t>CHIP RESIS 825KOHM 1% .1WATT 1.55X0.</t>
  </si>
  <si>
    <t>D11100825K1%P5</t>
  </si>
  <si>
    <t>N62045885</t>
  </si>
  <si>
    <t>CHIP RESIS 1.5KOHM 1% .25WATT 3.20X1</t>
  </si>
  <si>
    <t>D251001K501%P5</t>
  </si>
  <si>
    <t>N63079610</t>
  </si>
  <si>
    <t>D2501K5FCS</t>
  </si>
  <si>
    <t>CRCW0603100KFKTA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</si>
  <si>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</si>
  <si>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</si>
  <si>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</si>
  <si>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</si>
  <si>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</si>
  <si>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</si>
  <si>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</si>
  <si>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</si>
  <si>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</si>
  <si>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</si>
  <si>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CRCW060382R5FKTA</t>
  </si>
  <si>
    <t>CR0603-FX-82R5-ELF</t>
  </si>
  <si>
    <t>RC0603FR-0782R5L</t>
  </si>
  <si>
    <t>N62047956</t>
  </si>
  <si>
    <t>CHIP RESIS 82.5 OHM 1% .1WATT 1.55X0</t>
  </si>
  <si>
    <t>D1110082R51%P5</t>
  </si>
  <si>
    <t>N62058276</t>
  </si>
  <si>
    <t>CHIP RESIS 82.5 OHM 1% .1WATT 63X31M</t>
  </si>
  <si>
    <t>CRCW060382R5FRT1</t>
  </si>
  <si>
    <t>N63047708</t>
  </si>
  <si>
    <t>D1182R5FCS</t>
  </si>
  <si>
    <t>CRCW0603221RFKTA</t>
  </si>
  <si>
    <t>CHIP RESIS 221 OHM 1% 0.1W T&amp;R</t>
  </si>
  <si>
    <t>CR0603-FX-2210ELF</t>
  </si>
  <si>
    <t>N62048251</t>
  </si>
  <si>
    <t>CHIP RESIS 221 OHM 1% .1WATT 1.55X0.</t>
  </si>
  <si>
    <t>D11100221R1%P5</t>
  </si>
  <si>
    <t>N62055744</t>
  </si>
  <si>
    <t>CHIP RESIS 221 OHM 1% .1WATT 63X31MI</t>
  </si>
  <si>
    <t>CRCW06032210FRT1</t>
  </si>
  <si>
    <t>N63071591</t>
  </si>
  <si>
    <t>D11221RFCS</t>
  </si>
  <si>
    <t>CRCW0603100RFKTA</t>
  </si>
  <si>
    <t>CR0603-FX-1000ELF</t>
  </si>
  <si>
    <t>N62048368</t>
  </si>
  <si>
    <t>CHIP RESIS 100 OHM 1% .1WATT 1.55X0.</t>
  </si>
  <si>
    <t>D11100100R1%P5</t>
  </si>
  <si>
    <t>N62083753</t>
  </si>
  <si>
    <t>CHIP RESIS 100 OHM 1% .100WATT 1.55X</t>
  </si>
  <si>
    <t>CR0603-FX-1000-E</t>
  </si>
  <si>
    <t>N62092168</t>
  </si>
  <si>
    <t>CHIP RESIS 100 OHM 1% .1WATT T&amp;R</t>
  </si>
  <si>
    <t>CRCW06031000FRT1</t>
  </si>
  <si>
    <t>N63012629</t>
  </si>
  <si>
    <t>D11100RFCS</t>
  </si>
  <si>
    <t>CRCW0603150RFKTA</t>
  </si>
  <si>
    <t>N62048673</t>
  </si>
  <si>
    <t>CHIP RESIS 150 OHM 1% .1WATT 1.55X0.</t>
  </si>
  <si>
    <t>D11100150R1%P5</t>
  </si>
  <si>
    <t>N62093208</t>
  </si>
  <si>
    <t>CHIP RESIS 150 OHM 1% .1WATT 63X31MI</t>
  </si>
  <si>
    <t>CRCW06031500FRT1</t>
  </si>
  <si>
    <t>N63005201</t>
  </si>
  <si>
    <t>D11150RFCS</t>
  </si>
  <si>
    <t>CRCW060356K2FKTA</t>
  </si>
  <si>
    <t>CR0603-FX-5622-ELF</t>
  </si>
  <si>
    <t>N62049200</t>
  </si>
  <si>
    <t>CHIP RESIS 56.2KOHM 1% .1WATT 1.55X0</t>
  </si>
  <si>
    <t>D1110056K21%P5</t>
  </si>
  <si>
    <t>N63042170</t>
  </si>
  <si>
    <t>D1156K2FCS</t>
  </si>
  <si>
    <t>CRCW06031K00FKTA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</si>
  <si>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</si>
  <si>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</si>
  <si>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</si>
  <si>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</si>
  <si>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</si>
  <si>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</si>
  <si>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N62092614</t>
  </si>
  <si>
    <t>CHIP RESIS 1KOHM 1% .1WATT T&amp;R</t>
  </si>
  <si>
    <t>CRCW06031001FRT1</t>
  </si>
  <si>
    <t>N63037261</t>
  </si>
  <si>
    <t>CHIP RESIS 1KOHM 1% .1WATT 1.55X0.85</t>
  </si>
  <si>
    <t>D11001KFCS</t>
  </si>
  <si>
    <t>CR0402-FX-1001GLF</t>
  </si>
  <si>
    <t>N62057344</t>
  </si>
  <si>
    <t>CHIP RESIS 1KOHM 1% .063WATT 1X0.5MI</t>
  </si>
  <si>
    <t>D101001K001%P0</t>
  </si>
  <si>
    <t>N62058656</t>
  </si>
  <si>
    <t>CRCW04021001FRT7</t>
  </si>
  <si>
    <t>N62096730</t>
  </si>
  <si>
    <t>CHIP RESIS 1KOHM 1% .063WATT 1X0.5MM</t>
  </si>
  <si>
    <t>D10100001K1%P0</t>
  </si>
  <si>
    <t>CRCW04021M00FKTD</t>
  </si>
  <si>
    <t>CR0402-FW-1004GLF</t>
  </si>
  <si>
    <t>RC0402FR-071ML</t>
  </si>
  <si>
    <t>N62081047</t>
  </si>
  <si>
    <t>CHIP RESIS 1MOHM 1% .063WATT 1X0.5MM</t>
  </si>
  <si>
    <t>D10100001M1%P0</t>
  </si>
  <si>
    <t>N62085725</t>
  </si>
  <si>
    <t>D101001M001%P0</t>
  </si>
  <si>
    <t>N62085758</t>
  </si>
  <si>
    <t>CRCW04021004FRT7</t>
  </si>
  <si>
    <t>CHIP RESIS 10KOHM 1% .063W T&amp;R</t>
  </si>
  <si>
    <t>CRCW040210K0FKTD</t>
  </si>
  <si>
    <t>CR0402-FX-1002GLF</t>
  </si>
  <si>
    <t>N62073689</t>
  </si>
  <si>
    <t>CHIP RESIS 10KOHM 1% .063WATT 1.0X0.</t>
  </si>
  <si>
    <t>CRCW04021002FRT7</t>
  </si>
  <si>
    <t>N62084660</t>
  </si>
  <si>
    <t>CHIP RESIS 10KOHM 1% .063WATT 1X0.5M</t>
  </si>
  <si>
    <t>D10100010K1%P0</t>
  </si>
  <si>
    <t>N62084736</t>
  </si>
  <si>
    <t>D101001002FP0</t>
  </si>
  <si>
    <t>N62085220</t>
  </si>
  <si>
    <t>D1010010K01%P0</t>
  </si>
  <si>
    <t>CHIP JUMPER  TAPE&amp;REEL</t>
  </si>
  <si>
    <t>D251000R0P5</t>
  </si>
  <si>
    <t>CRCW12060000ZSTA</t>
  </si>
  <si>
    <t>CRCW12060000Z0EA</t>
  </si>
  <si>
    <t>CR1206-J/-000ELF</t>
  </si>
  <si>
    <t>RC1206JR-070RL</t>
  </si>
  <si>
    <t>N62041710</t>
  </si>
  <si>
    <t>CHIP JUMPER  126X63MIL T&amp;R</t>
  </si>
  <si>
    <t>CRCW1206-000RT1</t>
  </si>
  <si>
    <t>N62802145</t>
  </si>
  <si>
    <t>CHIP JUMPER 3.2x1.6mm T&amp;R</t>
  </si>
  <si>
    <t>CRCW1206-000J</t>
  </si>
  <si>
    <t>N62804059</t>
  </si>
  <si>
    <t>CHIP JUMPER 5000EA/RL</t>
  </si>
  <si>
    <t>CR1206-FX-000-E</t>
  </si>
  <si>
    <t>N62807953</t>
  </si>
  <si>
    <t>CR1206-J/-000-E</t>
  </si>
  <si>
    <t>N62809082</t>
  </si>
  <si>
    <t>CHIP JUMPER 3.20X1.60MM 1.5AMP TAPE/</t>
  </si>
  <si>
    <t>D25000RFCS</t>
  </si>
  <si>
    <t>N62809645</t>
  </si>
  <si>
    <t>CRCW1206-000JRT5</t>
  </si>
  <si>
    <t>N62856026</t>
  </si>
  <si>
    <t>CRCW1206000ZRT1</t>
  </si>
  <si>
    <t>N63096457</t>
  </si>
  <si>
    <t>CHIP JUMPER 126X63MIL T&amp;R</t>
  </si>
  <si>
    <t>CRCW1206-000JRT1</t>
  </si>
  <si>
    <t>CHIP JUMPER 1.55x0.85MM T&amp;R</t>
  </si>
  <si>
    <t>CRCW0603000ZRT1</t>
  </si>
  <si>
    <t>CRCW06030000ZSTA</t>
  </si>
  <si>
    <t xml:space="preserve"> CHIP JUMPER 1.55X0.85MM T&amp;R</t>
  </si>
  <si>
    <t>CR0603-J/-000ELF</t>
  </si>
  <si>
    <t>CHIP JUMPER T&amp;R</t>
  </si>
  <si>
    <t>RC0603JR-070RL</t>
  </si>
  <si>
    <t>N62800792</t>
  </si>
  <si>
    <t>CHIP JUMPER 1.55X0.8MIL 5000EA/RL</t>
  </si>
  <si>
    <t>CR0603-JW-000-E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</si>
  <si>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</si>
  <si>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</si>
  <si>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</si>
  <si>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</si>
  <si>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</si>
  <si>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</si>
  <si>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</si>
  <si>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</si>
  <si>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</si>
  <si>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</si>
  <si>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</si>
  <si>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</si>
  <si>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</si>
  <si>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N64412265</t>
  </si>
  <si>
    <t>MK-263-037-435-220S-900</t>
  </si>
  <si>
    <t>N64430754</t>
  </si>
  <si>
    <t>MDM37SCBRP</t>
  </si>
  <si>
    <t>CONN RECT,MINIATURE,SCREWLOCK FEMALE</t>
  </si>
  <si>
    <t>N64919053</t>
  </si>
  <si>
    <t>CONN RECT SCREWLOCK FEMALE</t>
  </si>
  <si>
    <t>D20418-2</t>
  </si>
  <si>
    <t>N64988900</t>
  </si>
  <si>
    <t>CON,RECT,RECPT, RACK AND PANEL,SCREW LOC</t>
  </si>
  <si>
    <t>M24308/26-1Z</t>
  </si>
  <si>
    <t>CONN,RF,ADAPTER,SMA JACK TO JACK,18GHZ,5</t>
  </si>
  <si>
    <t>SF2991-6002</t>
  </si>
  <si>
    <t>N65805525</t>
  </si>
  <si>
    <t>2084-1100-02</t>
  </si>
  <si>
    <t>N65805889</t>
  </si>
  <si>
    <t>R125.753.001</t>
  </si>
  <si>
    <t>N65844425</t>
  </si>
  <si>
    <t>50-675-7000-89</t>
  </si>
  <si>
    <t>N65875213</t>
  </si>
  <si>
    <t>N65899247</t>
  </si>
  <si>
    <t>ADT-2793-TF-SMA-02</t>
  </si>
  <si>
    <t>N80401342</t>
  </si>
  <si>
    <t>ATTENUATOR DC-18GHZ 10DB .5WATT 50 O</t>
  </si>
  <si>
    <t>2082-6042-10</t>
  </si>
  <si>
    <t>N80404643</t>
  </si>
  <si>
    <t>290-10</t>
  </si>
  <si>
    <t>N80405038</t>
  </si>
  <si>
    <t>ATT-0290-10-000-02</t>
  </si>
  <si>
    <t>N80464795</t>
  </si>
  <si>
    <t>ATTENUATOR DC-18GHZ 10DB 2WATT 50 OH</t>
  </si>
  <si>
    <t>18C-10</t>
  </si>
  <si>
    <t>N80404999</t>
  </si>
  <si>
    <t>ATT-0290-03-000-02</t>
  </si>
  <si>
    <t>N80405640</t>
  </si>
  <si>
    <t>290-3</t>
  </si>
  <si>
    <t>N80408552</t>
  </si>
  <si>
    <t>R413.803.000</t>
  </si>
  <si>
    <t>N80410467</t>
  </si>
  <si>
    <t>ATTENUATOR DC-18GHZ 3DB 2WATT SMA</t>
  </si>
  <si>
    <t>ATT-0290-03-SMA-02</t>
  </si>
  <si>
    <t>N80457856</t>
  </si>
  <si>
    <t>ATTENUATOR DC-18GHZ 3DB 2WATT 50 OHM</t>
  </si>
  <si>
    <t>18C-3</t>
  </si>
  <si>
    <t>N80722523</t>
  </si>
  <si>
    <t>TRM-2107-MC-INC-02</t>
  </si>
  <si>
    <t>N80769474</t>
  </si>
  <si>
    <t>2107MC</t>
  </si>
  <si>
    <t>N80700933</t>
  </si>
  <si>
    <t>TERMINATION DC-18GHZ 1W OSM/M</t>
  </si>
  <si>
    <t>2001-6101-02</t>
  </si>
  <si>
    <t>N80706591</t>
  </si>
  <si>
    <t>TERMINATION OSM PLUG DC-18GHZ 1WATT</t>
  </si>
  <si>
    <t>20020P-ISF</t>
  </si>
  <si>
    <t>N80748890</t>
  </si>
  <si>
    <t>20020P-1SF</t>
  </si>
  <si>
    <t>N80751084</t>
  </si>
  <si>
    <t>TERMINATION SMA DC-18GHZ 1WATT</t>
  </si>
  <si>
    <t>R404212000</t>
  </si>
  <si>
    <t>N80793599</t>
  </si>
  <si>
    <t>R404.212.000</t>
  </si>
  <si>
    <t>N80799448</t>
  </si>
  <si>
    <t>2001-6101-00</t>
  </si>
  <si>
    <t>N87535514</t>
  </si>
  <si>
    <t>PLT3S</t>
  </si>
  <si>
    <t>N87547840</t>
  </si>
  <si>
    <t>SST3S</t>
  </si>
  <si>
    <t>N87555876</t>
  </si>
  <si>
    <t>N87558714</t>
  </si>
  <si>
    <t>N87578704</t>
  </si>
  <si>
    <t>CABLE TIE,NYLON,SELF LOCKING,11.5INCH</t>
  </si>
  <si>
    <t>PLT3S-C</t>
  </si>
  <si>
    <t>N87542809</t>
  </si>
  <si>
    <t>CTM-1</t>
  </si>
  <si>
    <t>N87576054</t>
  </si>
  <si>
    <t>SP2M402-2S8</t>
  </si>
  <si>
    <t>CABLE TIE,MINIATURE,NATURAL NYLON,3 7/8"</t>
  </si>
  <si>
    <t>PLT1M-C</t>
  </si>
  <si>
    <t>N87500633</t>
  </si>
  <si>
    <t>HARDWARE  CABLE TIES 100 PCS,3 7/8  LENG</t>
  </si>
  <si>
    <t>PLT1M-C_CANCEL</t>
  </si>
  <si>
    <t>N87501714</t>
  </si>
  <si>
    <t>SST1M</t>
  </si>
  <si>
    <t>N87507794</t>
  </si>
  <si>
    <t>WHITE-HARDWARE   CABLE TIE</t>
  </si>
  <si>
    <t>MS3367-4-9</t>
  </si>
  <si>
    <t>N87508412</t>
  </si>
  <si>
    <t>PLT1M</t>
  </si>
  <si>
    <t>N87509253</t>
  </si>
  <si>
    <t>TY23M</t>
  </si>
  <si>
    <t>N87513289</t>
  </si>
  <si>
    <t>MS17821-4-9</t>
  </si>
  <si>
    <t>N87522660</t>
  </si>
  <si>
    <t>T0R180</t>
  </si>
  <si>
    <t>N87530721</t>
  </si>
  <si>
    <t>MS3367-4-9A</t>
  </si>
  <si>
    <t>N87544284</t>
  </si>
  <si>
    <t>N87570065</t>
  </si>
  <si>
    <t>WIT-18R-MIL</t>
  </si>
  <si>
    <t>N87592267</t>
  </si>
  <si>
    <t>TF-3</t>
  </si>
  <si>
    <t>N87505319</t>
  </si>
  <si>
    <t>TY-24M</t>
  </si>
  <si>
    <t>N87506093</t>
  </si>
  <si>
    <t>PLT1.5I</t>
  </si>
  <si>
    <t>N87509287</t>
  </si>
  <si>
    <t>SST1.5I</t>
  </si>
  <si>
    <t>N87541322</t>
  </si>
  <si>
    <t>TF-4</t>
  </si>
  <si>
    <t>N87548400</t>
  </si>
  <si>
    <t>08376-DENNISON</t>
  </si>
  <si>
    <t>N87570206</t>
  </si>
  <si>
    <t>WIT-30R-MIL</t>
  </si>
  <si>
    <t>TIE CABLE MOUNT,.150IN. HOLE DIA,NYLON6.</t>
  </si>
  <si>
    <t>TM2S6-M</t>
  </si>
  <si>
    <t>TM2S6-C</t>
  </si>
  <si>
    <t>N87543401</t>
  </si>
  <si>
    <t>CTM-0</t>
  </si>
  <si>
    <t>TAPE LACING TYING BRAIDED NYLON BLAC</t>
  </si>
  <si>
    <t>GUDELACE STYLE NO.18BL.</t>
  </si>
  <si>
    <t>50NOF17WBLACK</t>
  </si>
  <si>
    <t>LTN-2-B BLACK</t>
  </si>
  <si>
    <t>MILT43435TY1FN.B SIZE3BL</t>
  </si>
  <si>
    <t>GUDELACE STYLE20BL.</t>
  </si>
  <si>
    <t>MILT43435TY1FN.BSIZE5BL</t>
  </si>
  <si>
    <t>LTN-4-B-BLACK</t>
  </si>
  <si>
    <t>25NOF9W BLACK</t>
  </si>
  <si>
    <t>COMPOUND SILICONE NONMELTING, HEAT S</t>
  </si>
  <si>
    <t>MIL-S-8660-1QT</t>
  </si>
  <si>
    <t>DC4COMPOUND-TU150GR</t>
  </si>
  <si>
    <t>EC2216A/B GRAY KT3OZ</t>
  </si>
  <si>
    <t>EC2216A/B-GRAY-KT2FL/OZ.</t>
  </si>
  <si>
    <t>SEALING LOCKING ANAEROBIC SUPERFAST</t>
  </si>
  <si>
    <t>LOCTITE 242 50CC</t>
  </si>
  <si>
    <t>LOCTITE222</t>
  </si>
  <si>
    <t>222-50CC</t>
  </si>
  <si>
    <t>SEALING LOCKING ANAEROBIC COMPOUND,O</t>
  </si>
  <si>
    <t>LOCTITE 222MS</t>
  </si>
  <si>
    <t>CHIP RESIS 1.1 KOHM 1% .25WATT T&amp;R</t>
  </si>
  <si>
    <t>CRCW12061101FRT1</t>
  </si>
  <si>
    <t>CRCW12061K10FKTA</t>
  </si>
  <si>
    <t>N62010764</t>
  </si>
  <si>
    <t>CHIP RESIS 1.1KOHM 1% .25WATT 3.20X1</t>
  </si>
  <si>
    <t>D251001K101%P5</t>
  </si>
  <si>
    <t>CHIP CAP 1000PF 10% 50VOLT 55X55 NPO</t>
  </si>
  <si>
    <t>AQ125A102KAJME/500V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</si>
  <si>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</si>
  <si>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</si>
  <si>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</si>
  <si>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</si>
  <si>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</si>
  <si>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</si>
  <si>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</si>
  <si>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</si>
  <si>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</si>
  <si>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</si>
  <si>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</si>
  <si>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</si>
  <si>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ETA</t>
  </si>
  <si>
    <t>PROJECT PLAN</t>
  </si>
  <si>
    <t>LEVEL</t>
  </si>
  <si>
    <t>DESC</t>
  </si>
  <si>
    <t>STOCK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</si>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</sst>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000000]00000"/>
    <numFmt numFmtId="165" formatCode="mm/yyyy"/>
  </numFmts>
  <fonts count="10" x14ac:knownFonts="1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FF0000"/>
      <name val="Arial"/>
      <family val="2"/>
    </font>
    <font>
      <sz val="18"/>
      <color rgb="FFFF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1"/>
      <color rgb="FFFF0000"/>
      <name val="Arial"/>
      <family val="2"/>
      <charset val="177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9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" fontId="8" fillId="8" borderId="3" applyNumberFormat="0" applyProtection="0">
      <alignment horizontal="left" vertical="center" indent="1"/>
    </xf>
    <xf numFmtId="4" fontId="8" fillId="8" borderId="3" applyNumberFormat="0" applyProtection="0">
      <alignment horizontal="left" vertical="center" indent="1"/>
    </xf>
    <xf numFmtId="4" fontId="8" fillId="0" borderId="3" applyNumberFormat="0" applyProtection="0">
      <alignment horizontal="right" vertical="center"/>
    </xf>
  </cellStyleXfs>
  <cellXfs count="33">
    <xf numFmtId="0" fontId="0" fillId="0" borderId="0" xfId="0"/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2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4" xfId="2" applyBorder="1" applyAlignment="1">
      <alignment horizontal="center" vertical="center" readingOrder="1"/>
    </xf>
    <xf numFmtId="0" fontId="6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</cellXfs>
  <cellStyles count="6">
    <cellStyle name="Comma" xfId="1" builtinId="3"/>
    <cellStyle name="Normal" xfId="0" builtinId="0"/>
    <cellStyle name="SAPBEXchaText" xfId="3" xr:uid="{E1E76FA1-5D63-469D-86D6-958EE1E621BC}"/>
    <cellStyle name="SAPBEXstdData" xfId="5" xr:uid="{9B4675B0-CB2F-4054-88BA-A721B123D370}"/>
    <cellStyle name="SAPBEXstdItem" xfId="4" xr:uid="{0AEF94A3-C6E0-4F0B-915E-CDA2E6E09C49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9525</xdr:rowOff>
    </xdr:from>
    <xdr:ext cx="47625" cy="47625"/>
    <xdr:pic macro="[2]!DesignIconClicked"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66AB09D2-8870-402D-A837-A581A7790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2]!DesignIconClicked"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414D7509-DB95-4AB8-947B-F8D0E1B8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3CF2AEE3-9047-493A-8115-DCF6A1D05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78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F3A80141-DCB7-4C4D-8551-587D8A88E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478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2]!DesignIconClicked"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F64AF618-0B83-4E54-A94F-DA78DD16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478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2]!DesignIconClicked"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4A6E6BB7-DC15-4A34-9430-3AC041AB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478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9525</xdr:rowOff>
    </xdr:from>
    <xdr:ext cx="47625" cy="47625"/>
    <xdr:pic macro="[2]!DesignIconClicked"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55A221E7-DEBE-4C76-931D-E91768AC6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2]!DesignIconClicked"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FFFCB9F3-689B-4172-992E-584B056C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2</xdr:row>
      <xdr:rowOff>0</xdr:rowOff>
    </xdr:from>
    <xdr:ext cx="123825" cy="123825"/>
    <xdr:pic macro="[2]!DesignIconClicked"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BE426EB4-A524-41DA-ACA4-9026D8582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905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2]!DesignIconClicked"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34D13C00-C026-4F59-ABC6-410519532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2]!DesignIconClicked"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EBAEFE76-F16B-4B3A-89CC-38F856DD0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2]!DesignIconClicked"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6A2D2AB2-8216-4413-A3A6-3C12C984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2]!DesignIconClicked"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12C05983-564B-41AE-B871-561D00A3D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474DBA84-9C2A-4274-86E4-83943E2A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78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BA04E89A-15B4-48E4-9C3A-F087206D3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478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9525</xdr:rowOff>
    </xdr:from>
    <xdr:ext cx="47625" cy="47625"/>
    <xdr:pic macro="[2]!DesignIconClicked"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1542C2BB-03B8-4CE5-9511-414A72BB9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85725</xdr:rowOff>
    </xdr:from>
    <xdr:ext cx="47625" cy="47625"/>
    <xdr:pic macro="[2]!DesignIconClicked"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9786CBA5-D8D3-49A7-83DE-37E23F4E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573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47625</xdr:colOff>
      <xdr:row>3</xdr:row>
      <xdr:rowOff>0</xdr:rowOff>
    </xdr:from>
    <xdr:ext cx="123825" cy="123825"/>
    <xdr:pic macro="[2]!DesignIconClicked"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2C3024FA-3DC3-4300-ADDE-442B0A18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10</xdr:row>
      <xdr:rowOff>0</xdr:rowOff>
    </xdr:from>
    <xdr:ext cx="123825" cy="123825"/>
    <xdr:pic macro="[2]!DesignIconClicked"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C8CABAB5-D720-4A4D-8B71-B15F6B26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2A6B89D2-410A-4542-ABB0-F5178B9F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527AAF0E-556E-493F-92B6-359E73600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2C93207A-8160-4E54-93A2-904149F6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2]!DesignIconClicked"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4BD2F31F-B97F-4B5C-887F-1A16F2BB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1</xdr:row>
      <xdr:rowOff>0</xdr:rowOff>
    </xdr:from>
    <xdr:ext cx="123825" cy="123825"/>
    <xdr:pic macro="[2]!DesignIconClicked"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0FDA2C77-3938-4FE2-A4FE-1A83C1A63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4</xdr:row>
      <xdr:rowOff>0</xdr:rowOff>
    </xdr:from>
    <xdr:ext cx="123825" cy="123825"/>
    <xdr:pic macro="[2]!DesignIconClicked"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3DE0EFDD-A440-4093-9416-B73F8AC4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2]!DesignIconClicked"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B7EF2C45-C3A0-4DDA-B117-0D9241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2]!DesignIconClicked"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2E040B3C-A958-425C-B65F-366A27E0C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6</xdr:row>
      <xdr:rowOff>0</xdr:rowOff>
    </xdr:from>
    <xdr:ext cx="123825" cy="123825"/>
    <xdr:pic macro="[2]!DesignIconClicked"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53A57CC6-AA6F-447C-9AED-CDF126A9F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1</xdr:row>
      <xdr:rowOff>0</xdr:rowOff>
    </xdr:from>
    <xdr:ext cx="123825" cy="123825"/>
    <xdr:pic macro="[2]!DesignIconClicked"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28015FCE-DC25-44C2-A1D7-7E428CB68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CC249DC7-1E6E-40E6-AEE6-BD367D46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2]!DesignIconClicked"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26EC1E54-F356-4ACD-9B6A-E85E4ED2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9</xdr:row>
      <xdr:rowOff>0</xdr:rowOff>
    </xdr:from>
    <xdr:ext cx="123825" cy="123825"/>
    <xdr:pic macro="[2]!DesignIconClicked"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3D3771EE-A3E9-4C30-A02C-D370F51D5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8</xdr:row>
      <xdr:rowOff>0</xdr:rowOff>
    </xdr:from>
    <xdr:ext cx="123825" cy="123825"/>
    <xdr:pic macro="[2]!DesignIconClicked"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5B058585-A5A1-4BD4-B2CD-F379C7233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7</xdr:row>
      <xdr:rowOff>9525</xdr:rowOff>
    </xdr:from>
    <xdr:ext cx="123825" cy="123825"/>
    <xdr:pic macro="[2]!DesignIconClicked"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C40AAF51-B363-4552-95D9-ACDB79216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6</xdr:row>
      <xdr:rowOff>0</xdr:rowOff>
    </xdr:from>
    <xdr:ext cx="123825" cy="123825"/>
    <xdr:pic macro="[2]!DesignIconClicked"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8D95CADD-5499-4805-AC0A-56813B0E6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5</xdr:row>
      <xdr:rowOff>0</xdr:rowOff>
    </xdr:from>
    <xdr:ext cx="123825" cy="123825"/>
    <xdr:pic macro="[2]!DesignIconClicked"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02DBFE47-4164-4015-840C-D3DCE4CB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4</xdr:row>
      <xdr:rowOff>0</xdr:rowOff>
    </xdr:from>
    <xdr:ext cx="123825" cy="123825"/>
    <xdr:pic macro="[2]!DesignIconClicked"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D088AD5D-5741-464A-A152-91E1EDDF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2]!DesignIconClicked"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76A24036-3F93-4667-8370-58FDF783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2]!DesignIconClicked"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B9A01513-F2FC-4A74-B0A4-AE762A46B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1</xdr:col>
      <xdr:colOff>25400</xdr:colOff>
      <xdr:row>0</xdr:row>
      <xdr:rowOff>9525</xdr:rowOff>
    </xdr:from>
    <xdr:to>
      <xdr:col>1</xdr:col>
      <xdr:colOff>76200</xdr:colOff>
      <xdr:row>0</xdr:row>
      <xdr:rowOff>60325</xdr:rowOff>
    </xdr:to>
    <xdr:pic macro="[2]!DesignIconClicked">
      <xdr:nvPicPr>
        <xdr:cNvPr id="41" name="BExB7JJWGHOFDGH0FP9DSE6IGT16">
          <a:extLst>
            <a:ext uri="{FF2B5EF4-FFF2-40B4-BE49-F238E27FC236}">
              <a16:creationId xmlns:a16="http://schemas.microsoft.com/office/drawing/2014/main" id="{A1C48A3A-429E-4C11-ABFA-30B77C0DD1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25400</xdr:colOff>
      <xdr:row>0</xdr:row>
      <xdr:rowOff>85725</xdr:rowOff>
    </xdr:from>
    <xdr:to>
      <xdr:col>1</xdr:col>
      <xdr:colOff>76200</xdr:colOff>
      <xdr:row>0</xdr:row>
      <xdr:rowOff>136525</xdr:rowOff>
    </xdr:to>
    <xdr:pic macro="[2]!DesignIconClicked">
      <xdr:nvPicPr>
        <xdr:cNvPr id="42" name="BExKFSZLVG6JUTH1UQQBTRMFAL1I">
          <a:extLst>
            <a:ext uri="{FF2B5EF4-FFF2-40B4-BE49-F238E27FC236}">
              <a16:creationId xmlns:a16="http://schemas.microsoft.com/office/drawing/2014/main" id="{F6107970-449C-43A2-A584-AE19BD77AB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0</xdr:col>
      <xdr:colOff>50800</xdr:colOff>
      <xdr:row>0</xdr:row>
      <xdr:rowOff>60325</xdr:rowOff>
    </xdr:to>
    <xdr:pic macro="[2]!DesignIconClicked">
      <xdr:nvPicPr>
        <xdr:cNvPr id="43" name="BEx3O3YFDWOWO6HVDBMBA90XLBWU">
          <a:extLst>
            <a:ext uri="{FF2B5EF4-FFF2-40B4-BE49-F238E27FC236}">
              <a16:creationId xmlns:a16="http://schemas.microsoft.com/office/drawing/2014/main" id="{737237F9-B5DC-4869-8CFC-7F9F8D6CB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0</xdr:col>
      <xdr:colOff>0</xdr:colOff>
      <xdr:row>0</xdr:row>
      <xdr:rowOff>85725</xdr:rowOff>
    </xdr:from>
    <xdr:to>
      <xdr:col>0</xdr:col>
      <xdr:colOff>50800</xdr:colOff>
      <xdr:row>0</xdr:row>
      <xdr:rowOff>136525</xdr:rowOff>
    </xdr:to>
    <xdr:pic macro="[2]!DesignIconClicked">
      <xdr:nvPicPr>
        <xdr:cNvPr id="44" name="BEx3E0Q1IY8M9DQA9NMSFGQEKS16">
          <a:extLst>
            <a:ext uri="{FF2B5EF4-FFF2-40B4-BE49-F238E27FC236}">
              <a16:creationId xmlns:a16="http://schemas.microsoft.com/office/drawing/2014/main" id="{995A7FE0-36C4-4CC2-B7B8-8BD44E47D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9525</xdr:rowOff>
    </xdr:from>
    <xdr:to>
      <xdr:col>0</xdr:col>
      <xdr:colOff>76200</xdr:colOff>
      <xdr:row>0</xdr:row>
      <xdr:rowOff>60325</xdr:rowOff>
    </xdr:to>
    <xdr:pic macro="[2]!DesignIconClicked">
      <xdr:nvPicPr>
        <xdr:cNvPr id="45" name="BExIWX4X3AIAQX233AYVO62S3UBL">
          <a:extLst>
            <a:ext uri="{FF2B5EF4-FFF2-40B4-BE49-F238E27FC236}">
              <a16:creationId xmlns:a16="http://schemas.microsoft.com/office/drawing/2014/main" id="{9EDC0004-A945-4713-A89A-1709A6DD4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2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0</xdr:col>
      <xdr:colOff>25400</xdr:colOff>
      <xdr:row>0</xdr:row>
      <xdr:rowOff>85725</xdr:rowOff>
    </xdr:from>
    <xdr:to>
      <xdr:col>0</xdr:col>
      <xdr:colOff>76200</xdr:colOff>
      <xdr:row>0</xdr:row>
      <xdr:rowOff>136525</xdr:rowOff>
    </xdr:to>
    <xdr:pic macro="[2]!DesignIconClicked">
      <xdr:nvPicPr>
        <xdr:cNvPr id="46" name="BEx7ACBVG0ZO2W2DYY49IU850HZP">
          <a:extLst>
            <a:ext uri="{FF2B5EF4-FFF2-40B4-BE49-F238E27FC236}">
              <a16:creationId xmlns:a16="http://schemas.microsoft.com/office/drawing/2014/main" id="{E30CA3AD-8FD1-4F14-922C-F31552268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2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</xdr:colOff>
      <xdr:row>0</xdr:row>
      <xdr:rowOff>9525</xdr:rowOff>
    </xdr:from>
    <xdr:to>
      <xdr:col>2</xdr:col>
      <xdr:colOff>73025</xdr:colOff>
      <xdr:row>0</xdr:row>
      <xdr:rowOff>60325</xdr:rowOff>
    </xdr:to>
    <xdr:pic macro="[2]!DesignIconClicked">
      <xdr:nvPicPr>
        <xdr:cNvPr id="47" name="BExXQMI950762W6MSBIP7LVLDV9Y">
          <a:extLst>
            <a:ext uri="{FF2B5EF4-FFF2-40B4-BE49-F238E27FC236}">
              <a16:creationId xmlns:a16="http://schemas.microsoft.com/office/drawing/2014/main" id="{7880AED2-549C-4231-80E3-6663B9E48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2</xdr:col>
      <xdr:colOff>22225</xdr:colOff>
      <xdr:row>0</xdr:row>
      <xdr:rowOff>85725</xdr:rowOff>
    </xdr:from>
    <xdr:to>
      <xdr:col>2</xdr:col>
      <xdr:colOff>73025</xdr:colOff>
      <xdr:row>0</xdr:row>
      <xdr:rowOff>136525</xdr:rowOff>
    </xdr:to>
    <xdr:pic macro="[2]!DesignIconClicked">
      <xdr:nvPicPr>
        <xdr:cNvPr id="48" name="BExSFD968M7L5TE1A84FK8SSXNE5">
          <a:extLst>
            <a:ext uri="{FF2B5EF4-FFF2-40B4-BE49-F238E27FC236}">
              <a16:creationId xmlns:a16="http://schemas.microsoft.com/office/drawing/2014/main" id="{68395F95-5855-43D2-924F-C3F6914EF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49" name="BExU4IS6KI1GL3XIMQKB1II05R40">
          <a:extLst>
            <a:ext uri="{FF2B5EF4-FFF2-40B4-BE49-F238E27FC236}">
              <a16:creationId xmlns:a16="http://schemas.microsoft.com/office/drawing/2014/main" id="{6BE93B5A-0028-4256-B3CC-27ECB35952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0" name="BExGXPF0WWY2542WOIOOEGKUCE2A">
          <a:extLst>
            <a:ext uri="{FF2B5EF4-FFF2-40B4-BE49-F238E27FC236}">
              <a16:creationId xmlns:a16="http://schemas.microsoft.com/office/drawing/2014/main" id="{FDAAE157-A658-4708-8701-3F9660248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1" name="BExZMQ4UPXY77I8W19HMABG33RD4">
          <a:extLst>
            <a:ext uri="{FF2B5EF4-FFF2-40B4-BE49-F238E27FC236}">
              <a16:creationId xmlns:a16="http://schemas.microsoft.com/office/drawing/2014/main" id="{0F64566D-4C50-4889-B9CA-BABC61CD5B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2" name="BEx1P5OJIPT270K0UA30W5JIXZOD">
          <a:extLst>
            <a:ext uri="{FF2B5EF4-FFF2-40B4-BE49-F238E27FC236}">
              <a16:creationId xmlns:a16="http://schemas.microsoft.com/office/drawing/2014/main" id="{9628C399-87EA-48FF-BA15-2F0E42566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3" name="BExIL40DV5BBHW9UOJXLU6MYYMGR">
          <a:extLst>
            <a:ext uri="{FF2B5EF4-FFF2-40B4-BE49-F238E27FC236}">
              <a16:creationId xmlns:a16="http://schemas.microsoft.com/office/drawing/2014/main" id="{AE3E028C-9E8A-4D3E-815B-D5A669F14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4" name="BExGUURTNY5OKLT73QPG5WV89MW7">
          <a:extLst>
            <a:ext uri="{FF2B5EF4-FFF2-40B4-BE49-F238E27FC236}">
              <a16:creationId xmlns:a16="http://schemas.microsoft.com/office/drawing/2014/main" id="{BC7E7AFE-CE30-4F3C-BA72-CB3A76558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5" name="BEx3BT5FYRWJX235JRH4MJOBJP48">
          <a:extLst>
            <a:ext uri="{FF2B5EF4-FFF2-40B4-BE49-F238E27FC236}">
              <a16:creationId xmlns:a16="http://schemas.microsoft.com/office/drawing/2014/main" id="{4EEE060E-52AC-4CA6-9CD2-7C3CADD95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6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6" name="BExGTDF7WX7F6XU52R79QKK4QL15">
          <a:extLst>
            <a:ext uri="{FF2B5EF4-FFF2-40B4-BE49-F238E27FC236}">
              <a16:creationId xmlns:a16="http://schemas.microsoft.com/office/drawing/2014/main" id="{84F220E3-7413-445E-9945-60A5A2B18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6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7" name="BExSBA3MI1OU7FPOHGFXE5WA66GK">
          <a:extLst>
            <a:ext uri="{FF2B5EF4-FFF2-40B4-BE49-F238E27FC236}">
              <a16:creationId xmlns:a16="http://schemas.microsoft.com/office/drawing/2014/main" id="{E1D8BBCC-19BC-45FE-AFE8-F3C959BD2D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06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58" name="BExXP85MVL3ZPMJZS7O7QPJPJQ83">
          <a:extLst>
            <a:ext uri="{FF2B5EF4-FFF2-40B4-BE49-F238E27FC236}">
              <a16:creationId xmlns:a16="http://schemas.microsoft.com/office/drawing/2014/main" id="{EC7CE685-A5E0-4B6D-8465-EB2C6E627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06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</xdr:rowOff>
    </xdr:from>
    <xdr:to>
      <xdr:col>4</xdr:col>
      <xdr:colOff>50800</xdr:colOff>
      <xdr:row>0</xdr:row>
      <xdr:rowOff>60325</xdr:rowOff>
    </xdr:to>
    <xdr:pic macro="[2]!DesignIconClicked">
      <xdr:nvPicPr>
        <xdr:cNvPr id="59" name="BExXZBE6ES5ITOOC0BM6GUILK7JD">
          <a:extLst>
            <a:ext uri="{FF2B5EF4-FFF2-40B4-BE49-F238E27FC236}">
              <a16:creationId xmlns:a16="http://schemas.microsoft.com/office/drawing/2014/main" id="{CE59CD1A-4D16-467C-9E1D-1DAB1B0B50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83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0</xdr:colOff>
      <xdr:row>0</xdr:row>
      <xdr:rowOff>85725</xdr:rowOff>
    </xdr:from>
    <xdr:to>
      <xdr:col>4</xdr:col>
      <xdr:colOff>50800</xdr:colOff>
      <xdr:row>0</xdr:row>
      <xdr:rowOff>136525</xdr:rowOff>
    </xdr:to>
    <xdr:pic macro="[2]!DesignIconClicked">
      <xdr:nvPicPr>
        <xdr:cNvPr id="60" name="BEx1ODCYYKM1295J0VTHVFKDAAHA">
          <a:extLst>
            <a:ext uri="{FF2B5EF4-FFF2-40B4-BE49-F238E27FC236}">
              <a16:creationId xmlns:a16="http://schemas.microsoft.com/office/drawing/2014/main" id="{F420D62F-DD39-45D4-A145-BB9EF6A6A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83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0</xdr:row>
      <xdr:rowOff>9525</xdr:rowOff>
    </xdr:from>
    <xdr:to>
      <xdr:col>4</xdr:col>
      <xdr:colOff>76200</xdr:colOff>
      <xdr:row>0</xdr:row>
      <xdr:rowOff>60325</xdr:rowOff>
    </xdr:to>
    <xdr:pic macro="[2]!DesignIconClicked">
      <xdr:nvPicPr>
        <xdr:cNvPr id="61" name="BExEXP2YWLK2G3I408C1PZ1WM6TW">
          <a:extLst>
            <a:ext uri="{FF2B5EF4-FFF2-40B4-BE49-F238E27FC236}">
              <a16:creationId xmlns:a16="http://schemas.microsoft.com/office/drawing/2014/main" id="{49C3D92E-CA9C-4AD1-AB2F-96002DD9F0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25400</xdr:colOff>
      <xdr:row>0</xdr:row>
      <xdr:rowOff>85725</xdr:rowOff>
    </xdr:from>
    <xdr:to>
      <xdr:col>4</xdr:col>
      <xdr:colOff>76200</xdr:colOff>
      <xdr:row>0</xdr:row>
      <xdr:rowOff>136525</xdr:rowOff>
    </xdr:to>
    <xdr:pic macro="[2]!DesignIconClicked">
      <xdr:nvPicPr>
        <xdr:cNvPr id="62" name="BExIMY8VLB0ADVDGDRQ5G8QUCM3R">
          <a:extLst>
            <a:ext uri="{FF2B5EF4-FFF2-40B4-BE49-F238E27FC236}">
              <a16:creationId xmlns:a16="http://schemas.microsoft.com/office/drawing/2014/main" id="{E2332B92-8CEE-4101-BD80-281EF9D1E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63" name="BExKMUONIRB9VFOA35O8ILDRW51W">
          <a:extLst>
            <a:ext uri="{FF2B5EF4-FFF2-40B4-BE49-F238E27FC236}">
              <a16:creationId xmlns:a16="http://schemas.microsoft.com/office/drawing/2014/main" id="{CBFBF4C4-CFF5-4336-A6D6-85373CB04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7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64" name="BEx5NH2DYG8111HL3IFTEWBPT4CU">
          <a:extLst>
            <a:ext uri="{FF2B5EF4-FFF2-40B4-BE49-F238E27FC236}">
              <a16:creationId xmlns:a16="http://schemas.microsoft.com/office/drawing/2014/main" id="{7E2AE1FD-6DDA-493C-B83C-B110A45592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7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65" name="BExY14VGI0F3T580IP58OZ6OYXYC">
          <a:extLst>
            <a:ext uri="{FF2B5EF4-FFF2-40B4-BE49-F238E27FC236}">
              <a16:creationId xmlns:a16="http://schemas.microsoft.com/office/drawing/2014/main" id="{0D4AF8B3-5E4F-4D9E-A421-3395716D0C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2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66" name="BExZN8V3UIAXKW30OQRALV9C3IL4">
          <a:extLst>
            <a:ext uri="{FF2B5EF4-FFF2-40B4-BE49-F238E27FC236}">
              <a16:creationId xmlns:a16="http://schemas.microsoft.com/office/drawing/2014/main" id="{F6B800D7-647E-465B-A5F5-826BF6F17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2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67" name="BExW01FG6QEHPUT1M84MGEZ8OTQ0">
          <a:extLst>
            <a:ext uri="{FF2B5EF4-FFF2-40B4-BE49-F238E27FC236}">
              <a16:creationId xmlns:a16="http://schemas.microsoft.com/office/drawing/2014/main" id="{5E6ADAC7-E246-4C00-847E-961EB4E7C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68" name="BEx3MUUPGQHYNXQ7R2XBDJKQWVAB">
          <a:extLst>
            <a:ext uri="{FF2B5EF4-FFF2-40B4-BE49-F238E27FC236}">
              <a16:creationId xmlns:a16="http://schemas.microsoft.com/office/drawing/2014/main" id="{8C4987A0-3DC1-4716-8284-50934B80D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69" name="BEx3FTR8A3CXCKD0YMHAPUON01VE">
          <a:extLst>
            <a:ext uri="{FF2B5EF4-FFF2-40B4-BE49-F238E27FC236}">
              <a16:creationId xmlns:a16="http://schemas.microsoft.com/office/drawing/2014/main" id="{C1EE82E7-1DD8-49FB-B749-04CCF3C7C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74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0" name="BExIMXXW2P3XFK76H0TIHF62OVNK">
          <a:extLst>
            <a:ext uri="{FF2B5EF4-FFF2-40B4-BE49-F238E27FC236}">
              <a16:creationId xmlns:a16="http://schemas.microsoft.com/office/drawing/2014/main" id="{21A71754-A7A2-47C8-807F-DD40B2B1F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74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1" name="BEx9BP2EKOJI9712IBW9HK0DBOYF">
          <a:extLst>
            <a:ext uri="{FF2B5EF4-FFF2-40B4-BE49-F238E27FC236}">
              <a16:creationId xmlns:a16="http://schemas.microsoft.com/office/drawing/2014/main" id="{18D6A45B-9D02-4E69-ACDF-ECB050ACB3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81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2" name="BEx3TZ8TWV4DNUDPR0P7AEGJ67Y2">
          <a:extLst>
            <a:ext uri="{FF2B5EF4-FFF2-40B4-BE49-F238E27FC236}">
              <a16:creationId xmlns:a16="http://schemas.microsoft.com/office/drawing/2014/main" id="{33469BF3-4199-4CD3-BE49-0777E63619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81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3" name="BExQKFVSY8MEFSQTAJ09RM24WF0L">
          <a:extLst>
            <a:ext uri="{FF2B5EF4-FFF2-40B4-BE49-F238E27FC236}">
              <a16:creationId xmlns:a16="http://schemas.microsoft.com/office/drawing/2014/main" id="{8F3C872F-235D-43D8-92D1-1B18BE302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42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4" name="BExXT8RDU98SDBSB7K3IXL9SZ7I6">
          <a:extLst>
            <a:ext uri="{FF2B5EF4-FFF2-40B4-BE49-F238E27FC236}">
              <a16:creationId xmlns:a16="http://schemas.microsoft.com/office/drawing/2014/main" id="{E13E77F9-4E2F-4063-9901-83406E41E6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42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5" name="BExXP07RF2DHKSY2B6YMIPO4CPIF">
          <a:extLst>
            <a:ext uri="{FF2B5EF4-FFF2-40B4-BE49-F238E27FC236}">
              <a16:creationId xmlns:a16="http://schemas.microsoft.com/office/drawing/2014/main" id="{25F70665-A6BC-4B90-B3E2-6544A4A77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41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6" name="BExGN29148EKAQPPWE47CA0K3XKY">
          <a:extLst>
            <a:ext uri="{FF2B5EF4-FFF2-40B4-BE49-F238E27FC236}">
              <a16:creationId xmlns:a16="http://schemas.microsoft.com/office/drawing/2014/main" id="{47E2791F-A77F-4B0A-964C-56AEBCA91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41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7" name="BExO9NL3S1GPTPU8MS70ALCF03I2">
          <a:extLst>
            <a:ext uri="{FF2B5EF4-FFF2-40B4-BE49-F238E27FC236}">
              <a16:creationId xmlns:a16="http://schemas.microsoft.com/office/drawing/2014/main" id="{D413A1A8-556C-4EBE-A01C-94992E44B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44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78" name="BExB0EV0TKXVHZI25AFX1ZACX622">
          <a:extLst>
            <a:ext uri="{FF2B5EF4-FFF2-40B4-BE49-F238E27FC236}">
              <a16:creationId xmlns:a16="http://schemas.microsoft.com/office/drawing/2014/main" id="{D7F1290D-4D9F-4CD3-B74A-F2B7FF8CB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44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79" name="BExY2JOE6DS2TFUDCOH98QGBY05M">
          <a:extLst>
            <a:ext uri="{FF2B5EF4-FFF2-40B4-BE49-F238E27FC236}">
              <a16:creationId xmlns:a16="http://schemas.microsoft.com/office/drawing/2014/main" id="{AE96FAA2-8AEF-4D38-9B2D-179BDC2B2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04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80" name="BExOC6ZRZ9GFJPTMLGL104BCO3KX">
          <a:extLst>
            <a:ext uri="{FF2B5EF4-FFF2-40B4-BE49-F238E27FC236}">
              <a16:creationId xmlns:a16="http://schemas.microsoft.com/office/drawing/2014/main" id="{AEDF89F0-F91E-4074-BBD5-A718972B2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04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81" name="BEx5BN6YOTEGSCV26IMENPVTEVNB">
          <a:extLst>
            <a:ext uri="{FF2B5EF4-FFF2-40B4-BE49-F238E27FC236}">
              <a16:creationId xmlns:a16="http://schemas.microsoft.com/office/drawing/2014/main" id="{A3FCD2D5-76A7-4A2C-A2B9-A990B0BADF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07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82" name="BExMGA3W9M35DBCFA7L3ZXQR6E4Y">
          <a:extLst>
            <a:ext uri="{FF2B5EF4-FFF2-40B4-BE49-F238E27FC236}">
              <a16:creationId xmlns:a16="http://schemas.microsoft.com/office/drawing/2014/main" id="{E6FEB34B-2087-4024-A97B-FF20CDFEA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07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83" name="BExB5PRP2O0PPGDYG6QPHURVXTUS">
          <a:extLst>
            <a:ext uri="{FF2B5EF4-FFF2-40B4-BE49-F238E27FC236}">
              <a16:creationId xmlns:a16="http://schemas.microsoft.com/office/drawing/2014/main" id="{4E407067-8FE8-4406-B381-6E60905C35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84" name="BExKNTWCRZE9L779GIHQG47V132D">
          <a:extLst>
            <a:ext uri="{FF2B5EF4-FFF2-40B4-BE49-F238E27FC236}">
              <a16:creationId xmlns:a16="http://schemas.microsoft.com/office/drawing/2014/main" id="{227CF4AD-C13D-4287-B717-21E10888F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00" y="16383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9525</xdr:rowOff>
    </xdr:from>
    <xdr:to>
      <xdr:col>5</xdr:col>
      <xdr:colOff>50800</xdr:colOff>
      <xdr:row>0</xdr:row>
      <xdr:rowOff>60325</xdr:rowOff>
    </xdr:to>
    <xdr:pic macro="[2]!DesignIconClicked">
      <xdr:nvPicPr>
        <xdr:cNvPr id="85" name="BExEVNCVAAW9B89T1TP6BZJ9Y1CY">
          <a:extLst>
            <a:ext uri="{FF2B5EF4-FFF2-40B4-BE49-F238E27FC236}">
              <a16:creationId xmlns:a16="http://schemas.microsoft.com/office/drawing/2014/main" id="{2D5D305E-E831-4481-BAD7-51F3893706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0" y="15621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0</xdr:row>
      <xdr:rowOff>85725</xdr:rowOff>
    </xdr:from>
    <xdr:to>
      <xdr:col>5</xdr:col>
      <xdr:colOff>50800</xdr:colOff>
      <xdr:row>0</xdr:row>
      <xdr:rowOff>136525</xdr:rowOff>
    </xdr:to>
    <xdr:pic macro="[2]!DesignIconClicked">
      <xdr:nvPicPr>
        <xdr:cNvPr id="86" name="BEx1G71ZRJ030DF03Z5Z71EAUT3Q">
          <a:extLst>
            <a:ext uri="{FF2B5EF4-FFF2-40B4-BE49-F238E27FC236}">
              <a16:creationId xmlns:a16="http://schemas.microsoft.com/office/drawing/2014/main" id="{81C48976-B97F-43E4-A6B3-F8C569D93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0" y="1638300"/>
          <a:ext cx="50800" cy="50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tech.elta.iai/dpt/6455/Purchase/Offset/CIWS/6931A105-001%20%2012.08.2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ogram%20Files%20(x86)/Common%20Files/SAP%20Shared/BW/BExAnalyzer.xla" TargetMode="External"/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2026"/>
      <sheetName val="Sheet0"/>
      <sheetName val="הזנת נתונים"/>
      <sheetName val="material balance"/>
    </sheetNames>
    <sheetDataSet>
      <sheetData sheetId="0" refreshError="1"/>
      <sheetData sheetId="1" refreshError="1"/>
      <sheetData sheetId="2" refreshError="1"/>
      <sheetData sheetId="3" refreshError="1">
        <row r="2">
          <cell r="K2" t="str">
            <v>ID</v>
          </cell>
        </row>
        <row r="3">
          <cell r="K3" t="str">
            <v>6931A105-001</v>
          </cell>
          <cell r="L3">
            <v>0</v>
          </cell>
        </row>
        <row r="4">
          <cell r="K4" t="str">
            <v>1039F570-001</v>
          </cell>
          <cell r="L4">
            <v>1</v>
          </cell>
        </row>
        <row r="5">
          <cell r="K5" t="str">
            <v>1094K725-001</v>
          </cell>
          <cell r="L5">
            <v>2</v>
          </cell>
        </row>
        <row r="6">
          <cell r="K6" t="str">
            <v>1094K726-001</v>
          </cell>
          <cell r="L6">
            <v>3</v>
          </cell>
        </row>
        <row r="7">
          <cell r="K7" t="str">
            <v>1094K727-001</v>
          </cell>
          <cell r="L7">
            <v>3</v>
          </cell>
        </row>
        <row r="8">
          <cell r="K8" t="str">
            <v>1094K728-001</v>
          </cell>
          <cell r="L8">
            <v>3</v>
          </cell>
        </row>
        <row r="9">
          <cell r="K9" t="str">
            <v>1094F179-002</v>
          </cell>
          <cell r="L9">
            <v>3</v>
          </cell>
        </row>
        <row r="10">
          <cell r="K10" t="str">
            <v>1094F171-002</v>
          </cell>
          <cell r="L10">
            <v>3</v>
          </cell>
        </row>
        <row r="11">
          <cell r="K11" t="str">
            <v>1094K723-001</v>
          </cell>
          <cell r="L11">
            <v>3</v>
          </cell>
        </row>
        <row r="12">
          <cell r="K12" t="str">
            <v>1094F848-001</v>
          </cell>
          <cell r="L12">
            <v>3</v>
          </cell>
        </row>
        <row r="13">
          <cell r="K13" t="str">
            <v>1094F174-001</v>
          </cell>
          <cell r="L13">
            <v>2</v>
          </cell>
        </row>
        <row r="14">
          <cell r="K14" t="str">
            <v>1094F883-001</v>
          </cell>
          <cell r="L14">
            <v>2</v>
          </cell>
        </row>
        <row r="15">
          <cell r="K15" t="str">
            <v>1094F884-001</v>
          </cell>
          <cell r="L15">
            <v>2</v>
          </cell>
        </row>
        <row r="16">
          <cell r="K16" t="str">
            <v>1094F879-001</v>
          </cell>
          <cell r="L16">
            <v>2</v>
          </cell>
        </row>
        <row r="17">
          <cell r="K17" t="str">
            <v>1094F855-001</v>
          </cell>
          <cell r="L17">
            <v>2</v>
          </cell>
        </row>
        <row r="18">
          <cell r="K18" t="str">
            <v>1094F856-001</v>
          </cell>
          <cell r="L18">
            <v>2</v>
          </cell>
        </row>
        <row r="19">
          <cell r="K19" t="str">
            <v>1094F845-001</v>
          </cell>
          <cell r="L19">
            <v>2</v>
          </cell>
        </row>
        <row r="20">
          <cell r="K20" t="str">
            <v>1094K724-001</v>
          </cell>
          <cell r="L20">
            <v>2</v>
          </cell>
        </row>
        <row r="21">
          <cell r="K21" t="str">
            <v>6931A080-001</v>
          </cell>
          <cell r="L21">
            <v>1</v>
          </cell>
        </row>
        <row r="22">
          <cell r="K22" t="str">
            <v>1096L950-001</v>
          </cell>
          <cell r="L22">
            <v>2</v>
          </cell>
        </row>
        <row r="23">
          <cell r="K23" t="str">
            <v>1096L951-001</v>
          </cell>
          <cell r="L23">
            <v>3</v>
          </cell>
        </row>
        <row r="24">
          <cell r="K24" t="str">
            <v>1096L952-001</v>
          </cell>
          <cell r="L24">
            <v>4</v>
          </cell>
        </row>
        <row r="25">
          <cell r="K25" t="str">
            <v>1094F194-002</v>
          </cell>
          <cell r="L25">
            <v>4</v>
          </cell>
        </row>
        <row r="26">
          <cell r="K26" t="str">
            <v>1096L963-001</v>
          </cell>
          <cell r="L26">
            <v>4</v>
          </cell>
        </row>
        <row r="27">
          <cell r="K27" t="str">
            <v>1094H849-001</v>
          </cell>
          <cell r="L27">
            <v>4</v>
          </cell>
        </row>
        <row r="28">
          <cell r="K28" t="str">
            <v>1094F841-001</v>
          </cell>
          <cell r="L28">
            <v>3</v>
          </cell>
        </row>
        <row r="29">
          <cell r="K29" t="str">
            <v>1094F217-001</v>
          </cell>
          <cell r="L29">
            <v>3</v>
          </cell>
        </row>
        <row r="30">
          <cell r="K30" t="str">
            <v>1094F218-001</v>
          </cell>
          <cell r="L30">
            <v>3</v>
          </cell>
        </row>
        <row r="31">
          <cell r="K31" t="str">
            <v>1094Y673-001</v>
          </cell>
          <cell r="L31">
            <v>3</v>
          </cell>
        </row>
        <row r="32">
          <cell r="K32" t="str">
            <v>1094J266-002</v>
          </cell>
          <cell r="L32">
            <v>3</v>
          </cell>
        </row>
        <row r="33">
          <cell r="K33" t="str">
            <v>1094J267-002</v>
          </cell>
          <cell r="L33">
            <v>3</v>
          </cell>
        </row>
        <row r="34">
          <cell r="K34" t="str">
            <v>6930B621-002</v>
          </cell>
          <cell r="L34">
            <v>2</v>
          </cell>
        </row>
        <row r="35">
          <cell r="K35" t="str">
            <v>1022L482-001</v>
          </cell>
          <cell r="L35">
            <v>3</v>
          </cell>
        </row>
        <row r="36">
          <cell r="K36" t="str">
            <v>1022L485-002</v>
          </cell>
          <cell r="L36">
            <v>3</v>
          </cell>
        </row>
        <row r="37">
          <cell r="K37" t="str">
            <v>2001G911-001</v>
          </cell>
          <cell r="L37">
            <v>3</v>
          </cell>
        </row>
        <row r="38">
          <cell r="K38" t="str">
            <v>6930B676-001</v>
          </cell>
          <cell r="L38">
            <v>3</v>
          </cell>
        </row>
        <row r="39">
          <cell r="K39" t="str">
            <v>5206F007-001</v>
          </cell>
          <cell r="L39">
            <v>3</v>
          </cell>
        </row>
        <row r="40">
          <cell r="K40" t="str">
            <v>5206F008-001</v>
          </cell>
          <cell r="L40">
            <v>4</v>
          </cell>
        </row>
        <row r="41">
          <cell r="K41" t="str">
            <v>5205F532-001</v>
          </cell>
          <cell r="L41">
            <v>5</v>
          </cell>
        </row>
        <row r="42">
          <cell r="K42" t="str">
            <v>5203F511-002</v>
          </cell>
          <cell r="L42">
            <v>5</v>
          </cell>
        </row>
        <row r="43">
          <cell r="K43" t="str">
            <v>5206F009-001</v>
          </cell>
          <cell r="L43">
            <v>5</v>
          </cell>
        </row>
        <row r="44">
          <cell r="K44" t="str">
            <v>1022L985-001</v>
          </cell>
          <cell r="L44">
            <v>3</v>
          </cell>
        </row>
        <row r="45">
          <cell r="K45" t="str">
            <v>1022L984-001</v>
          </cell>
          <cell r="L45">
            <v>3</v>
          </cell>
        </row>
        <row r="46">
          <cell r="K46" t="str">
            <v>1094K658-001</v>
          </cell>
          <cell r="L46">
            <v>3</v>
          </cell>
        </row>
        <row r="47">
          <cell r="K47" t="str">
            <v>1094Y690-001</v>
          </cell>
          <cell r="L47">
            <v>2</v>
          </cell>
        </row>
        <row r="48">
          <cell r="K48" t="str">
            <v>1094Y692-001</v>
          </cell>
          <cell r="L48">
            <v>3</v>
          </cell>
        </row>
        <row r="49">
          <cell r="K49" t="str">
            <v>1094F207-001</v>
          </cell>
          <cell r="L49">
            <v>3</v>
          </cell>
        </row>
        <row r="50">
          <cell r="K50" t="str">
            <v>1094Y693-001</v>
          </cell>
          <cell r="L50">
            <v>3</v>
          </cell>
        </row>
        <row r="51">
          <cell r="K51" t="str">
            <v>1092R925-001</v>
          </cell>
          <cell r="L51">
            <v>4</v>
          </cell>
        </row>
        <row r="52">
          <cell r="K52" t="str">
            <v>1094F199-001</v>
          </cell>
          <cell r="L52">
            <v>2</v>
          </cell>
        </row>
        <row r="53">
          <cell r="K53" t="str">
            <v>1094Y683-001</v>
          </cell>
          <cell r="L53">
            <v>2</v>
          </cell>
        </row>
        <row r="54">
          <cell r="K54" t="str">
            <v>1094Y679-001</v>
          </cell>
          <cell r="L54">
            <v>2</v>
          </cell>
        </row>
        <row r="55">
          <cell r="K55" t="str">
            <v>1094Y682-001</v>
          </cell>
          <cell r="L55">
            <v>2</v>
          </cell>
        </row>
        <row r="56">
          <cell r="K56" t="str">
            <v>1094F188-001</v>
          </cell>
          <cell r="L56">
            <v>2</v>
          </cell>
        </row>
        <row r="57">
          <cell r="K57" t="str">
            <v>1094F208-001</v>
          </cell>
          <cell r="L57">
            <v>2</v>
          </cell>
        </row>
        <row r="58">
          <cell r="K58" t="str">
            <v>1022L945-005</v>
          </cell>
          <cell r="L58">
            <v>2</v>
          </cell>
        </row>
        <row r="59">
          <cell r="K59" t="str">
            <v>1036N114-001</v>
          </cell>
          <cell r="L59">
            <v>2</v>
          </cell>
        </row>
        <row r="60">
          <cell r="K60" t="str">
            <v>1096L954-001</v>
          </cell>
          <cell r="L60">
            <v>2</v>
          </cell>
        </row>
        <row r="61">
          <cell r="K61" t="str">
            <v>1094F868-001</v>
          </cell>
          <cell r="L61">
            <v>2</v>
          </cell>
        </row>
        <row r="62">
          <cell r="K62" t="str">
            <v>1094F869-001</v>
          </cell>
          <cell r="L62">
            <v>2</v>
          </cell>
        </row>
        <row r="63">
          <cell r="K63" t="str">
            <v>1094F214-001</v>
          </cell>
          <cell r="L63">
            <v>2</v>
          </cell>
        </row>
        <row r="64">
          <cell r="K64" t="str">
            <v>1094F874-001</v>
          </cell>
          <cell r="L64">
            <v>2</v>
          </cell>
        </row>
        <row r="65">
          <cell r="K65" t="str">
            <v>1094F875-001</v>
          </cell>
          <cell r="L65">
            <v>2</v>
          </cell>
        </row>
        <row r="66">
          <cell r="K66" t="str">
            <v>1039F502-001</v>
          </cell>
          <cell r="L66">
            <v>2</v>
          </cell>
        </row>
        <row r="67">
          <cell r="K67" t="str">
            <v>1022L967-003</v>
          </cell>
          <cell r="L67">
            <v>2</v>
          </cell>
        </row>
        <row r="68">
          <cell r="K68" t="str">
            <v>1022L987-001</v>
          </cell>
          <cell r="L68">
            <v>2</v>
          </cell>
        </row>
        <row r="69">
          <cell r="K69" t="str">
            <v>2011E191-001</v>
          </cell>
          <cell r="L69">
            <v>3</v>
          </cell>
        </row>
        <row r="70">
          <cell r="K70" t="str">
            <v>1094Y676-001</v>
          </cell>
          <cell r="L70">
            <v>2</v>
          </cell>
        </row>
        <row r="71">
          <cell r="K71" t="str">
            <v>1094F876-001</v>
          </cell>
          <cell r="L71">
            <v>2</v>
          </cell>
        </row>
        <row r="72">
          <cell r="K72" t="str">
            <v>1033A299-001</v>
          </cell>
          <cell r="L72">
            <v>2</v>
          </cell>
        </row>
        <row r="73">
          <cell r="K73" t="str">
            <v>1037M818-001</v>
          </cell>
          <cell r="L73">
            <v>2</v>
          </cell>
        </row>
        <row r="74">
          <cell r="K74" t="str">
            <v>1096L953-001</v>
          </cell>
          <cell r="L74">
            <v>2</v>
          </cell>
        </row>
        <row r="75">
          <cell r="K75" t="str">
            <v>1037M819-001</v>
          </cell>
          <cell r="L75">
            <v>2</v>
          </cell>
        </row>
        <row r="76">
          <cell r="K76" t="str">
            <v>1037M820-001</v>
          </cell>
          <cell r="L76">
            <v>2</v>
          </cell>
        </row>
        <row r="77">
          <cell r="K77" t="str">
            <v>1037M821-001</v>
          </cell>
          <cell r="L77">
            <v>2</v>
          </cell>
        </row>
        <row r="78">
          <cell r="K78" t="str">
            <v>1094F184-001</v>
          </cell>
          <cell r="L78">
            <v>2</v>
          </cell>
        </row>
        <row r="79">
          <cell r="K79" t="str">
            <v>1094Y686-001</v>
          </cell>
          <cell r="L79">
            <v>2</v>
          </cell>
        </row>
        <row r="80">
          <cell r="K80" t="str">
            <v>6931A090-001</v>
          </cell>
          <cell r="L80">
            <v>1</v>
          </cell>
        </row>
        <row r="81">
          <cell r="K81" t="str">
            <v>1096L960-001</v>
          </cell>
          <cell r="L81">
            <v>2</v>
          </cell>
        </row>
        <row r="82">
          <cell r="K82" t="str">
            <v>1096L961-001</v>
          </cell>
          <cell r="L82">
            <v>3</v>
          </cell>
        </row>
        <row r="83">
          <cell r="K83" t="str">
            <v>1096L962-001</v>
          </cell>
          <cell r="L83">
            <v>4</v>
          </cell>
        </row>
        <row r="84">
          <cell r="K84" t="str">
            <v>1094F194-002</v>
          </cell>
          <cell r="L84">
            <v>4</v>
          </cell>
        </row>
        <row r="85">
          <cell r="K85" t="str">
            <v>1096L963-001</v>
          </cell>
          <cell r="L85">
            <v>4</v>
          </cell>
        </row>
        <row r="86">
          <cell r="K86" t="str">
            <v>1094H849-001</v>
          </cell>
          <cell r="L86">
            <v>4</v>
          </cell>
        </row>
        <row r="87">
          <cell r="K87" t="str">
            <v>1094F841-001</v>
          </cell>
          <cell r="L87">
            <v>3</v>
          </cell>
        </row>
        <row r="88">
          <cell r="K88" t="str">
            <v>1094F217-001</v>
          </cell>
          <cell r="L88">
            <v>3</v>
          </cell>
        </row>
        <row r="89">
          <cell r="K89" t="str">
            <v>1094F218-001</v>
          </cell>
          <cell r="L89">
            <v>3</v>
          </cell>
        </row>
        <row r="90">
          <cell r="K90" t="str">
            <v>1094Y673-001</v>
          </cell>
          <cell r="L90">
            <v>3</v>
          </cell>
        </row>
        <row r="91">
          <cell r="K91" t="str">
            <v>1094J266-002</v>
          </cell>
          <cell r="L91">
            <v>3</v>
          </cell>
        </row>
        <row r="92">
          <cell r="K92" t="str">
            <v>1094J267-002</v>
          </cell>
          <cell r="L92">
            <v>3</v>
          </cell>
        </row>
        <row r="93">
          <cell r="K93" t="str">
            <v>6930B621-002</v>
          </cell>
          <cell r="L93">
            <v>2</v>
          </cell>
        </row>
        <row r="94">
          <cell r="K94" t="str">
            <v>1022L482-001</v>
          </cell>
          <cell r="L94">
            <v>3</v>
          </cell>
        </row>
        <row r="95">
          <cell r="K95" t="str">
            <v>1022L485-002</v>
          </cell>
          <cell r="L95">
            <v>3</v>
          </cell>
        </row>
        <row r="96">
          <cell r="K96" t="str">
            <v>2001G911-001</v>
          </cell>
          <cell r="L96">
            <v>3</v>
          </cell>
        </row>
        <row r="97">
          <cell r="K97" t="str">
            <v>6930B676-001</v>
          </cell>
          <cell r="L97">
            <v>3</v>
          </cell>
        </row>
        <row r="98">
          <cell r="K98" t="str">
            <v>5206F007-001</v>
          </cell>
          <cell r="L98">
            <v>3</v>
          </cell>
        </row>
        <row r="99">
          <cell r="K99" t="str">
            <v>5206F008-001</v>
          </cell>
          <cell r="L99">
            <v>4</v>
          </cell>
        </row>
        <row r="100">
          <cell r="K100" t="str">
            <v>5205F532-001</v>
          </cell>
          <cell r="L100">
            <v>5</v>
          </cell>
        </row>
        <row r="101">
          <cell r="K101" t="str">
            <v>5203F511-002</v>
          </cell>
          <cell r="L101">
            <v>5</v>
          </cell>
        </row>
        <row r="102">
          <cell r="K102" t="str">
            <v>5206F009-001</v>
          </cell>
          <cell r="L102">
            <v>5</v>
          </cell>
        </row>
        <row r="103">
          <cell r="K103" t="str">
            <v>1022L985-001</v>
          </cell>
          <cell r="L103">
            <v>3</v>
          </cell>
        </row>
        <row r="104">
          <cell r="K104" t="str">
            <v>1022L984-001</v>
          </cell>
          <cell r="L104">
            <v>3</v>
          </cell>
        </row>
        <row r="105">
          <cell r="K105" t="str">
            <v>1094K658-001</v>
          </cell>
          <cell r="L105">
            <v>3</v>
          </cell>
        </row>
        <row r="106">
          <cell r="K106" t="str">
            <v>1094Y690-001</v>
          </cell>
          <cell r="L106">
            <v>2</v>
          </cell>
        </row>
        <row r="107">
          <cell r="K107" t="str">
            <v>1094Y692-001</v>
          </cell>
          <cell r="L107">
            <v>3</v>
          </cell>
        </row>
        <row r="108">
          <cell r="K108" t="str">
            <v>1094F207-001</v>
          </cell>
          <cell r="L108">
            <v>3</v>
          </cell>
        </row>
        <row r="109">
          <cell r="K109" t="str">
            <v>1094Y693-001</v>
          </cell>
          <cell r="L109">
            <v>3</v>
          </cell>
        </row>
        <row r="110">
          <cell r="K110" t="str">
            <v>1092R925-001</v>
          </cell>
          <cell r="L110">
            <v>4</v>
          </cell>
        </row>
        <row r="111">
          <cell r="K111" t="str">
            <v>1094F199-001</v>
          </cell>
          <cell r="L111">
            <v>2</v>
          </cell>
        </row>
        <row r="112">
          <cell r="K112" t="str">
            <v>1094F182-001</v>
          </cell>
          <cell r="L112">
            <v>2</v>
          </cell>
        </row>
        <row r="113">
          <cell r="K113" t="str">
            <v>1094Y679-001</v>
          </cell>
          <cell r="L113">
            <v>2</v>
          </cell>
        </row>
        <row r="114">
          <cell r="K114" t="str">
            <v>1094F187-002</v>
          </cell>
          <cell r="L114">
            <v>2</v>
          </cell>
        </row>
        <row r="115">
          <cell r="K115" t="str">
            <v>1094F188-001</v>
          </cell>
          <cell r="L115">
            <v>2</v>
          </cell>
        </row>
        <row r="116">
          <cell r="K116" t="str">
            <v>1094F208-001</v>
          </cell>
          <cell r="L116">
            <v>2</v>
          </cell>
        </row>
        <row r="117">
          <cell r="K117" t="str">
            <v>1022L945-005</v>
          </cell>
          <cell r="L117">
            <v>2</v>
          </cell>
        </row>
        <row r="118">
          <cell r="K118" t="str">
            <v>1036N114-001</v>
          </cell>
          <cell r="L118">
            <v>2</v>
          </cell>
        </row>
        <row r="119">
          <cell r="K119" t="str">
            <v>1096L954-001</v>
          </cell>
          <cell r="L119">
            <v>2</v>
          </cell>
        </row>
        <row r="120">
          <cell r="K120" t="str">
            <v>1094F868-001</v>
          </cell>
          <cell r="L120">
            <v>2</v>
          </cell>
        </row>
        <row r="121">
          <cell r="K121" t="str">
            <v>1094F869-001</v>
          </cell>
          <cell r="L121">
            <v>2</v>
          </cell>
        </row>
        <row r="122">
          <cell r="K122" t="str">
            <v>1094F214-001</v>
          </cell>
          <cell r="L122">
            <v>2</v>
          </cell>
        </row>
        <row r="123">
          <cell r="K123" t="str">
            <v>1094F874-001</v>
          </cell>
          <cell r="L123">
            <v>2</v>
          </cell>
        </row>
        <row r="124">
          <cell r="K124" t="str">
            <v>1094F875-001</v>
          </cell>
          <cell r="L124">
            <v>2</v>
          </cell>
        </row>
        <row r="125">
          <cell r="K125" t="str">
            <v>1037M818-001</v>
          </cell>
          <cell r="L125">
            <v>2</v>
          </cell>
        </row>
        <row r="126">
          <cell r="K126" t="str">
            <v>1037M822-001</v>
          </cell>
          <cell r="L126">
            <v>2</v>
          </cell>
        </row>
        <row r="127">
          <cell r="K127" t="str">
            <v>1037M823-001</v>
          </cell>
          <cell r="L127">
            <v>2</v>
          </cell>
        </row>
        <row r="128">
          <cell r="K128" t="str">
            <v>1096L953-001</v>
          </cell>
          <cell r="L128">
            <v>2</v>
          </cell>
        </row>
        <row r="129">
          <cell r="K129" t="str">
            <v>1094F184-001</v>
          </cell>
          <cell r="L129">
            <v>2</v>
          </cell>
        </row>
        <row r="130">
          <cell r="K130" t="str">
            <v>1037M732-001</v>
          </cell>
          <cell r="L130">
            <v>1</v>
          </cell>
        </row>
        <row r="131">
          <cell r="K131" t="str">
            <v>6931A200-001</v>
          </cell>
          <cell r="L131">
            <v>1</v>
          </cell>
        </row>
        <row r="132">
          <cell r="K132" t="str">
            <v>1094F211-002</v>
          </cell>
          <cell r="L132">
            <v>2</v>
          </cell>
        </row>
        <row r="133">
          <cell r="K133" t="str">
            <v>1094F198-001</v>
          </cell>
          <cell r="L133">
            <v>2</v>
          </cell>
        </row>
        <row r="134">
          <cell r="K134" t="str">
            <v>1099E950-001</v>
          </cell>
          <cell r="L134">
            <v>1</v>
          </cell>
        </row>
        <row r="135">
          <cell r="K135" t="str">
            <v>1099E949-001</v>
          </cell>
          <cell r="L135">
            <v>2</v>
          </cell>
        </row>
        <row r="136">
          <cell r="K136" t="str">
            <v>1099B822-001</v>
          </cell>
          <cell r="L136">
            <v>3</v>
          </cell>
        </row>
        <row r="137">
          <cell r="K137" t="str">
            <v>1099L850-001</v>
          </cell>
          <cell r="L137">
            <v>4</v>
          </cell>
        </row>
        <row r="138">
          <cell r="K138" t="str">
            <v>1099B772-001</v>
          </cell>
          <cell r="L138">
            <v>5</v>
          </cell>
        </row>
        <row r="139">
          <cell r="K139" t="str">
            <v>1099B801-001</v>
          </cell>
          <cell r="L139">
            <v>6</v>
          </cell>
        </row>
        <row r="140">
          <cell r="K140" t="str">
            <v>1099B802-001</v>
          </cell>
          <cell r="L140">
            <v>6</v>
          </cell>
        </row>
        <row r="141">
          <cell r="K141" t="str">
            <v>1099B803-001</v>
          </cell>
          <cell r="L141">
            <v>6</v>
          </cell>
        </row>
        <row r="142">
          <cell r="K142" t="str">
            <v>1099B804-001</v>
          </cell>
          <cell r="L142">
            <v>6</v>
          </cell>
        </row>
        <row r="143">
          <cell r="K143" t="str">
            <v>1099B805-001</v>
          </cell>
          <cell r="L143">
            <v>6</v>
          </cell>
        </row>
        <row r="144">
          <cell r="K144" t="str">
            <v>1099B806-001</v>
          </cell>
          <cell r="L144">
            <v>6</v>
          </cell>
        </row>
        <row r="145">
          <cell r="K145" t="str">
            <v>1099B807-001</v>
          </cell>
          <cell r="L145">
            <v>6</v>
          </cell>
        </row>
        <row r="146">
          <cell r="K146" t="str">
            <v>1099B808-001</v>
          </cell>
          <cell r="L146">
            <v>6</v>
          </cell>
        </row>
        <row r="147">
          <cell r="K147" t="str">
            <v>1099B831-001</v>
          </cell>
          <cell r="L147">
            <v>6</v>
          </cell>
        </row>
        <row r="148">
          <cell r="K148" t="str">
            <v>1099B897-001</v>
          </cell>
          <cell r="L148">
            <v>4</v>
          </cell>
        </row>
        <row r="149">
          <cell r="K149" t="str">
            <v>1099B835-001</v>
          </cell>
          <cell r="L149">
            <v>4</v>
          </cell>
        </row>
        <row r="150">
          <cell r="K150" t="str">
            <v>1099B836-001</v>
          </cell>
          <cell r="L150">
            <v>5</v>
          </cell>
        </row>
        <row r="151">
          <cell r="K151" t="str">
            <v>1099B838-001</v>
          </cell>
          <cell r="L151">
            <v>5</v>
          </cell>
        </row>
        <row r="152">
          <cell r="K152" t="str">
            <v>1099B818-001</v>
          </cell>
          <cell r="L152">
            <v>4</v>
          </cell>
        </row>
        <row r="153">
          <cell r="K153" t="str">
            <v>1099B809-001</v>
          </cell>
          <cell r="L153">
            <v>4</v>
          </cell>
        </row>
        <row r="154">
          <cell r="K154" t="str">
            <v>1099B833-001</v>
          </cell>
          <cell r="L154">
            <v>4</v>
          </cell>
        </row>
        <row r="155">
          <cell r="K155" t="str">
            <v>1099B842-001</v>
          </cell>
          <cell r="L155">
            <v>5</v>
          </cell>
        </row>
        <row r="156">
          <cell r="K156" t="str">
            <v>1099B841-001</v>
          </cell>
          <cell r="L156">
            <v>5</v>
          </cell>
        </row>
        <row r="157">
          <cell r="K157" t="str">
            <v>1099B834-001</v>
          </cell>
          <cell r="L157">
            <v>4</v>
          </cell>
        </row>
        <row r="158">
          <cell r="K158" t="str">
            <v>1099B843-001</v>
          </cell>
          <cell r="L158">
            <v>5</v>
          </cell>
        </row>
        <row r="159">
          <cell r="K159" t="str">
            <v>1099B841-001</v>
          </cell>
          <cell r="L159">
            <v>5</v>
          </cell>
        </row>
        <row r="160">
          <cell r="K160" t="str">
            <v>1099B821-001</v>
          </cell>
          <cell r="L160">
            <v>3</v>
          </cell>
        </row>
        <row r="161">
          <cell r="K161" t="str">
            <v>1099B814-001</v>
          </cell>
          <cell r="L161">
            <v>3</v>
          </cell>
        </row>
        <row r="162">
          <cell r="K162" t="str">
            <v>1099B811-001</v>
          </cell>
          <cell r="L162">
            <v>2</v>
          </cell>
        </row>
        <row r="163">
          <cell r="K163" t="str">
            <v>1099B770-001</v>
          </cell>
          <cell r="L163">
            <v>3</v>
          </cell>
        </row>
        <row r="164">
          <cell r="K164" t="str">
            <v>1099B795-001</v>
          </cell>
          <cell r="L164">
            <v>3</v>
          </cell>
        </row>
        <row r="165">
          <cell r="K165" t="str">
            <v>1099B776-001</v>
          </cell>
          <cell r="L165">
            <v>4</v>
          </cell>
        </row>
        <row r="166">
          <cell r="K166" t="str">
            <v>1099B793-001</v>
          </cell>
          <cell r="L166">
            <v>4</v>
          </cell>
        </row>
        <row r="167">
          <cell r="K167" t="str">
            <v>1099B794-001</v>
          </cell>
          <cell r="L167">
            <v>3</v>
          </cell>
        </row>
        <row r="168">
          <cell r="K168" t="str">
            <v>1099B778-001</v>
          </cell>
          <cell r="L168">
            <v>3</v>
          </cell>
        </row>
        <row r="169">
          <cell r="K169" t="str">
            <v>1099B812-001</v>
          </cell>
          <cell r="L169">
            <v>2</v>
          </cell>
        </row>
        <row r="170">
          <cell r="K170" t="str">
            <v>1099B788-001</v>
          </cell>
          <cell r="L170">
            <v>3</v>
          </cell>
        </row>
        <row r="171">
          <cell r="K171" t="str">
            <v>1099B785-001</v>
          </cell>
          <cell r="L171">
            <v>4</v>
          </cell>
        </row>
        <row r="172">
          <cell r="K172" t="str">
            <v>1099B786-001</v>
          </cell>
          <cell r="L172">
            <v>4</v>
          </cell>
        </row>
        <row r="173">
          <cell r="K173" t="str">
            <v>1099B787-001</v>
          </cell>
          <cell r="L173">
            <v>4</v>
          </cell>
        </row>
        <row r="174">
          <cell r="K174" t="str">
            <v>1099B778-001</v>
          </cell>
          <cell r="L174">
            <v>3</v>
          </cell>
        </row>
        <row r="175">
          <cell r="K175" t="str">
            <v>1099B799-001</v>
          </cell>
          <cell r="L175">
            <v>2</v>
          </cell>
        </row>
        <row r="176">
          <cell r="K176" t="str">
            <v>1099B775-001</v>
          </cell>
          <cell r="L176">
            <v>3</v>
          </cell>
        </row>
        <row r="177">
          <cell r="K177" t="str">
            <v>1099B781-001</v>
          </cell>
          <cell r="L177">
            <v>4</v>
          </cell>
        </row>
        <row r="178">
          <cell r="K178" t="str">
            <v>1099B782-001</v>
          </cell>
          <cell r="L178">
            <v>4</v>
          </cell>
        </row>
        <row r="179">
          <cell r="K179" t="str">
            <v>1099B797-001</v>
          </cell>
          <cell r="L179">
            <v>3</v>
          </cell>
        </row>
        <row r="180">
          <cell r="K180" t="str">
            <v>1099B798-001</v>
          </cell>
          <cell r="L180">
            <v>2</v>
          </cell>
        </row>
        <row r="181">
          <cell r="K181" t="str">
            <v>1099B774-001</v>
          </cell>
          <cell r="L181">
            <v>3</v>
          </cell>
        </row>
        <row r="182">
          <cell r="K182" t="str">
            <v>1099B783-001</v>
          </cell>
          <cell r="L182">
            <v>4</v>
          </cell>
        </row>
        <row r="183">
          <cell r="K183" t="str">
            <v>1099B784-001</v>
          </cell>
          <cell r="L183">
            <v>4</v>
          </cell>
        </row>
        <row r="184">
          <cell r="K184" t="str">
            <v>1099B797-001</v>
          </cell>
          <cell r="L184">
            <v>3</v>
          </cell>
        </row>
        <row r="185">
          <cell r="K185" t="str">
            <v>1099B764-001</v>
          </cell>
          <cell r="L185">
            <v>2</v>
          </cell>
        </row>
        <row r="186">
          <cell r="K186" t="str">
            <v>1099B765-001</v>
          </cell>
          <cell r="L186">
            <v>3</v>
          </cell>
        </row>
        <row r="187">
          <cell r="K187" t="str">
            <v>1099B766-001</v>
          </cell>
          <cell r="L187">
            <v>3</v>
          </cell>
        </row>
        <row r="188">
          <cell r="K188" t="str">
            <v>1099B762-001</v>
          </cell>
          <cell r="L188">
            <v>2</v>
          </cell>
        </row>
        <row r="189">
          <cell r="K189" t="str">
            <v>1099B763-001</v>
          </cell>
          <cell r="L189">
            <v>2</v>
          </cell>
        </row>
        <row r="190">
          <cell r="K190" t="str">
            <v>1099B779-001</v>
          </cell>
          <cell r="L190">
            <v>2</v>
          </cell>
        </row>
        <row r="191">
          <cell r="K191" t="str">
            <v>1099B834-001</v>
          </cell>
          <cell r="L191">
            <v>2</v>
          </cell>
        </row>
        <row r="192">
          <cell r="K192" t="str">
            <v>1099B843-001</v>
          </cell>
          <cell r="L192">
            <v>3</v>
          </cell>
        </row>
        <row r="193">
          <cell r="K193" t="str">
            <v>1099B841-001</v>
          </cell>
          <cell r="L193">
            <v>3</v>
          </cell>
        </row>
        <row r="194">
          <cell r="K194" t="str">
            <v>1099B833-001</v>
          </cell>
          <cell r="L194">
            <v>2</v>
          </cell>
        </row>
        <row r="195">
          <cell r="K195" t="str">
            <v>1099B842-001</v>
          </cell>
          <cell r="L195">
            <v>3</v>
          </cell>
        </row>
        <row r="196">
          <cell r="K196" t="str">
            <v>1099B841-001</v>
          </cell>
          <cell r="L196">
            <v>3</v>
          </cell>
        </row>
        <row r="197">
          <cell r="K197" t="str">
            <v>1037M859-001</v>
          </cell>
          <cell r="L197">
            <v>1</v>
          </cell>
        </row>
        <row r="198">
          <cell r="K198" t="str">
            <v>1037M857-001</v>
          </cell>
          <cell r="L198">
            <v>2</v>
          </cell>
        </row>
        <row r="199">
          <cell r="K199" t="str">
            <v>1037M861-001</v>
          </cell>
          <cell r="L199">
            <v>2</v>
          </cell>
        </row>
        <row r="200">
          <cell r="K200" t="str">
            <v>1037M858-001</v>
          </cell>
          <cell r="L200">
            <v>2</v>
          </cell>
        </row>
        <row r="201">
          <cell r="K201" t="str">
            <v>6931A350-001</v>
          </cell>
          <cell r="L201">
            <v>1</v>
          </cell>
        </row>
        <row r="202">
          <cell r="K202" t="str">
            <v>1037M730-001</v>
          </cell>
          <cell r="L202">
            <v>1</v>
          </cell>
        </row>
        <row r="203">
          <cell r="K203" t="str">
            <v>1037M731-002</v>
          </cell>
          <cell r="L203">
            <v>2</v>
          </cell>
        </row>
        <row r="204">
          <cell r="K204" t="str">
            <v>1094F842-001</v>
          </cell>
          <cell r="L204">
            <v>2</v>
          </cell>
        </row>
        <row r="205">
          <cell r="K205" t="str">
            <v>1094K755-001</v>
          </cell>
          <cell r="L205">
            <v>1</v>
          </cell>
        </row>
        <row r="206">
          <cell r="K206" t="str">
            <v>1094K736-001</v>
          </cell>
          <cell r="L206">
            <v>2</v>
          </cell>
        </row>
        <row r="207">
          <cell r="K207" t="str">
            <v>1094K734-001</v>
          </cell>
          <cell r="L207">
            <v>1</v>
          </cell>
        </row>
        <row r="208">
          <cell r="K208" t="str">
            <v>1094K737-001</v>
          </cell>
          <cell r="L208">
            <v>2</v>
          </cell>
        </row>
        <row r="209">
          <cell r="K209" t="str">
            <v>1039F852-001</v>
          </cell>
          <cell r="L209">
            <v>1</v>
          </cell>
        </row>
        <row r="210">
          <cell r="K210" t="str">
            <v>6931A400-001</v>
          </cell>
          <cell r="L210">
            <v>1</v>
          </cell>
        </row>
        <row r="211">
          <cell r="K211" t="str">
            <v>1037M719-001</v>
          </cell>
          <cell r="L211">
            <v>1</v>
          </cell>
        </row>
        <row r="212">
          <cell r="K212" t="str">
            <v>1037M850-001</v>
          </cell>
          <cell r="L212">
            <v>1</v>
          </cell>
        </row>
        <row r="213">
          <cell r="K213" t="str">
            <v>1037M851-001</v>
          </cell>
          <cell r="L213">
            <v>2</v>
          </cell>
        </row>
        <row r="214">
          <cell r="K214" t="str">
            <v>1037M852-001</v>
          </cell>
          <cell r="L214">
            <v>2</v>
          </cell>
        </row>
        <row r="215">
          <cell r="K215" t="str">
            <v>1094F853-002</v>
          </cell>
          <cell r="L215">
            <v>2</v>
          </cell>
        </row>
        <row r="216">
          <cell r="K216" t="str">
            <v>1037M840-001</v>
          </cell>
          <cell r="L216">
            <v>1</v>
          </cell>
        </row>
        <row r="217">
          <cell r="K217" t="str">
            <v>1037M839-001</v>
          </cell>
          <cell r="L217">
            <v>1</v>
          </cell>
        </row>
        <row r="218">
          <cell r="K218" t="str">
            <v>1033A447-001</v>
          </cell>
          <cell r="L218">
            <v>1</v>
          </cell>
        </row>
        <row r="219">
          <cell r="K219" t="str">
            <v>1039F842-001</v>
          </cell>
          <cell r="L219">
            <v>1</v>
          </cell>
        </row>
        <row r="220">
          <cell r="K220" t="str">
            <v>1039F843-001</v>
          </cell>
          <cell r="L220">
            <v>1</v>
          </cell>
        </row>
        <row r="221">
          <cell r="K221" t="str">
            <v>1039F846-001</v>
          </cell>
          <cell r="L221">
            <v>1</v>
          </cell>
        </row>
        <row r="222">
          <cell r="K222" t="str">
            <v>1039F847-001</v>
          </cell>
          <cell r="L222">
            <v>1</v>
          </cell>
        </row>
        <row r="223">
          <cell r="K223" t="str">
            <v>1094F823-001</v>
          </cell>
          <cell r="L223">
            <v>1</v>
          </cell>
        </row>
        <row r="224">
          <cell r="K224" t="str">
            <v>1094F824-001</v>
          </cell>
          <cell r="L224">
            <v>1</v>
          </cell>
        </row>
        <row r="225">
          <cell r="K225" t="str">
            <v>1094F825-001</v>
          </cell>
          <cell r="L225">
            <v>1</v>
          </cell>
        </row>
        <row r="226">
          <cell r="K226" t="str">
            <v>1094F826-001</v>
          </cell>
          <cell r="L226">
            <v>1</v>
          </cell>
        </row>
        <row r="227">
          <cell r="K227" t="str">
            <v>1094F827-001</v>
          </cell>
          <cell r="L227">
            <v>1</v>
          </cell>
        </row>
        <row r="228">
          <cell r="K228" t="str">
            <v>1094K661-001</v>
          </cell>
          <cell r="L228">
            <v>1</v>
          </cell>
        </row>
        <row r="229">
          <cell r="K229" t="str">
            <v>1092R968-001</v>
          </cell>
          <cell r="L229">
            <v>2</v>
          </cell>
        </row>
        <row r="230">
          <cell r="K230" t="str">
            <v>1094K662-001</v>
          </cell>
          <cell r="L230">
            <v>1</v>
          </cell>
        </row>
        <row r="231">
          <cell r="K231" t="str">
            <v>1092R968-001</v>
          </cell>
          <cell r="L231">
            <v>2</v>
          </cell>
        </row>
        <row r="232">
          <cell r="K232" t="str">
            <v>6931A450-001</v>
          </cell>
          <cell r="L232">
            <v>1</v>
          </cell>
        </row>
        <row r="233">
          <cell r="K233" t="str">
            <v>1037M723-001</v>
          </cell>
          <cell r="L233">
            <v>2</v>
          </cell>
        </row>
        <row r="234">
          <cell r="K234" t="str">
            <v>1037M722-001</v>
          </cell>
          <cell r="L234">
            <v>3</v>
          </cell>
        </row>
        <row r="235">
          <cell r="K235" t="str">
            <v>1037M832-001</v>
          </cell>
          <cell r="L235">
            <v>2</v>
          </cell>
        </row>
        <row r="236">
          <cell r="K236" t="str">
            <v>1037M713-001</v>
          </cell>
          <cell r="L236">
            <v>2</v>
          </cell>
        </row>
        <row r="237">
          <cell r="K237" t="str">
            <v>1033A448-001</v>
          </cell>
          <cell r="L237">
            <v>1</v>
          </cell>
        </row>
        <row r="238">
          <cell r="K238" t="str">
            <v>1094J281-001</v>
          </cell>
          <cell r="L238">
            <v>1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RCW0402100RFKTD" TargetMode="External"/><Relationship Id="rId21" Type="http://schemas.openxmlformats.org/officeDocument/2006/relationships/hyperlink" Target="http://eltweb04.elta.iai/pls/iman_Production/link_to_iman?item_id=1037M832-001" TargetMode="External"/><Relationship Id="rId42" Type="http://schemas.openxmlformats.org/officeDocument/2006/relationships/hyperlink" Target="http://eltweb04.elta.iai/pls/iman_Production/link_to_iman?item_id=1094F188-001" TargetMode="External"/><Relationship Id="rId63" Type="http://schemas.openxmlformats.org/officeDocument/2006/relationships/hyperlink" Target="http://eltweb04.elta.iai/pls/iman_Production/link_to_iman?item_id=1094F898-001" TargetMode="External"/><Relationship Id="rId84" Type="http://schemas.openxmlformats.org/officeDocument/2006/relationships/hyperlink" Target="http://eltweb04.elta.iai/pls/iman_Production/link_to_iman?item_id=1096L955-001" TargetMode="External"/><Relationship Id="rId138" Type="http://schemas.openxmlformats.org/officeDocument/2006/relationships/hyperlink" Target="http://eltweb04.elta.iai/pls/iman_Production/link_to_iman?item_id=MS24693-C25" TargetMode="External"/><Relationship Id="rId159" Type="http://schemas.openxmlformats.org/officeDocument/2006/relationships/hyperlink" Target="http://eltweb04.elta.iai/pls/iman_Production/link_to_iman?item_id=MS51957-29" TargetMode="External"/><Relationship Id="rId170" Type="http://schemas.openxmlformats.org/officeDocument/2006/relationships/hyperlink" Target="http://eltweb04.elta.iai/pls/iman_Production/link_to_iman?item_id=NAS620-10" TargetMode="External"/><Relationship Id="rId191" Type="http://schemas.openxmlformats.org/officeDocument/2006/relationships/hyperlink" Target="mailto:chen@amphenol-bartec.com" TargetMode="External"/><Relationship Id="rId107" Type="http://schemas.openxmlformats.org/officeDocument/2006/relationships/hyperlink" Target="http://eltweb04.elta.iai/pls/iman_Production/link_to_iman?item_id=6931A450-001" TargetMode="External"/><Relationship Id="rId11" Type="http://schemas.openxmlformats.org/officeDocument/2006/relationships/hyperlink" Target="http://eltweb04.elta.iai/pls/iman_Production/link_to_iman?item_id=1037M722-001" TargetMode="External"/><Relationship Id="rId32" Type="http://schemas.openxmlformats.org/officeDocument/2006/relationships/hyperlink" Target="http://eltweb04.elta.iai/pls/iman_Production/link_to_iman?item_id=1039F570-001" TargetMode="External"/><Relationship Id="rId53" Type="http://schemas.openxmlformats.org/officeDocument/2006/relationships/hyperlink" Target="http://eltweb04.elta.iai/pls/iman_Production/link_to_iman?item_id=1094F825-001" TargetMode="External"/><Relationship Id="rId74" Type="http://schemas.openxmlformats.org/officeDocument/2006/relationships/hyperlink" Target="http://eltweb04.elta.iai/pls/iman_Production/link_to_iman?item_id=1094Y682-001" TargetMode="External"/><Relationship Id="rId128" Type="http://schemas.openxmlformats.org/officeDocument/2006/relationships/hyperlink" Target="http://eltweb04.elta.iai/pls/iman_Production/link_to_iman?item_id=LPMM-S2" TargetMode="External"/><Relationship Id="rId149" Type="http://schemas.openxmlformats.org/officeDocument/2006/relationships/hyperlink" Target="http://eltweb04.elta.iai/pls/iman_Production/link_to_iman?item_id=MS35338-138" TargetMode="External"/><Relationship Id="rId5" Type="http://schemas.openxmlformats.org/officeDocument/2006/relationships/hyperlink" Target="http://eltweb04.elta.iai/pls/iman_Production/link_to_iman?item_id=1033A299-001" TargetMode="External"/><Relationship Id="rId95" Type="http://schemas.openxmlformats.org/officeDocument/2006/relationships/hyperlink" Target="http://eltweb04.elta.iai/pls/iman_Production/link_to_iman?item_id=242%2050CC" TargetMode="External"/><Relationship Id="rId160" Type="http://schemas.openxmlformats.org/officeDocument/2006/relationships/hyperlink" Target="http://eltweb04.elta.iai/pls/iman_Production/link_to_iman?item_id=MS51957-3" TargetMode="External"/><Relationship Id="rId181" Type="http://schemas.openxmlformats.org/officeDocument/2006/relationships/hyperlink" Target="http://eltweb04.elta.iai/pls/iman_Production/link_to_iman?item_id=R222.723.110" TargetMode="External"/><Relationship Id="rId22" Type="http://schemas.openxmlformats.org/officeDocument/2006/relationships/hyperlink" Target="http://eltweb04.elta.iai/pls/iman_Production/link_to_iman?item_id=1037M833-001" TargetMode="External"/><Relationship Id="rId43" Type="http://schemas.openxmlformats.org/officeDocument/2006/relationships/hyperlink" Target="http://eltweb04.elta.iai/pls/iman_Production/link_to_iman?item_id=1094F198-001" TargetMode="External"/><Relationship Id="rId64" Type="http://schemas.openxmlformats.org/officeDocument/2006/relationships/hyperlink" Target="http://eltweb04.elta.iai/pls/iman_Production/link_to_iman?item_id=1094H845-001" TargetMode="External"/><Relationship Id="rId118" Type="http://schemas.openxmlformats.org/officeDocument/2006/relationships/hyperlink" Target="http://eltweb04.elta.iai/pls/iman_Production/link_to_iman?item_id=CRCW04021K00FKTD" TargetMode="External"/><Relationship Id="rId139" Type="http://schemas.openxmlformats.org/officeDocument/2006/relationships/hyperlink" Target="http://eltweb04.elta.iai/pls/iman_Production/link_to_iman?item_id=MS24693-C26" TargetMode="External"/><Relationship Id="rId85" Type="http://schemas.openxmlformats.org/officeDocument/2006/relationships/hyperlink" Target="http://eltweb04.elta.iai/pls/iman_Production/link_to_iman?item_id=1096L960-001" TargetMode="External"/><Relationship Id="rId150" Type="http://schemas.openxmlformats.org/officeDocument/2006/relationships/hyperlink" Target="http://eltweb04.elta.iai/pls/iman_Production/link_to_iman?item_id=MS51957-10" TargetMode="External"/><Relationship Id="rId171" Type="http://schemas.openxmlformats.org/officeDocument/2006/relationships/hyperlink" Target="http://eltweb04.elta.iai/pls/iman_Production/link_to_iman?item_id=NAS620-6" TargetMode="External"/><Relationship Id="rId192" Type="http://schemas.openxmlformats.org/officeDocument/2006/relationships/hyperlink" Target="mailto:rachel@eimsys.co.il" TargetMode="External"/><Relationship Id="rId12" Type="http://schemas.openxmlformats.org/officeDocument/2006/relationships/hyperlink" Target="http://eltweb04.elta.iai/pls/iman_Production/link_to_iman?item_id=1037M723-001" TargetMode="External"/><Relationship Id="rId33" Type="http://schemas.openxmlformats.org/officeDocument/2006/relationships/hyperlink" Target="http://eltweb04.elta.iai/pls/iman_Production/link_to_iman?item_id=1039F842-001" TargetMode="External"/><Relationship Id="rId108" Type="http://schemas.openxmlformats.org/officeDocument/2006/relationships/hyperlink" Target="http://eltweb04.elta.iai/pls/iman_Production/link_to_iman?item_id=6931A451-001" TargetMode="External"/><Relationship Id="rId129" Type="http://schemas.openxmlformats.org/officeDocument/2006/relationships/hyperlink" Target="http://eltweb04.elta.iai/pls/iman_Production/link_to_iman?item_id=LZ28-1" TargetMode="External"/><Relationship Id="rId54" Type="http://schemas.openxmlformats.org/officeDocument/2006/relationships/hyperlink" Target="http://eltweb04.elta.iai/pls/iman_Production/link_to_iman?item_id=1094F826-001" TargetMode="External"/><Relationship Id="rId75" Type="http://schemas.openxmlformats.org/officeDocument/2006/relationships/hyperlink" Target="http://eltweb04.elta.iai/pls/iman_Production/link_to_iman?item_id=1094Y683-001" TargetMode="External"/><Relationship Id="rId96" Type="http://schemas.openxmlformats.org/officeDocument/2006/relationships/hyperlink" Target="http://eltweb04.elta.iai/pls/iman_Production/link_to_iman?item_id=60-3/4IN36YD" TargetMode="External"/><Relationship Id="rId140" Type="http://schemas.openxmlformats.org/officeDocument/2006/relationships/hyperlink" Target="http://eltweb04.elta.iai/pls/iman_Production/link_to_iman?item_id=MS24693-C3" TargetMode="External"/><Relationship Id="rId161" Type="http://schemas.openxmlformats.org/officeDocument/2006/relationships/hyperlink" Target="http://eltweb04.elta.iai/pls/iman_Production/link_to_iman?item_id=MS51957-33" TargetMode="External"/><Relationship Id="rId182" Type="http://schemas.openxmlformats.org/officeDocument/2006/relationships/hyperlink" Target="http://eltweb04.elta.iai/pls/iman_Production/link_to_iman?item_id=R222.723.220" TargetMode="External"/><Relationship Id="rId6" Type="http://schemas.openxmlformats.org/officeDocument/2006/relationships/hyperlink" Target="http://eltweb04.elta.iai/pls/iman_Production/link_to_iman?item_id=1033A447-001" TargetMode="External"/><Relationship Id="rId23" Type="http://schemas.openxmlformats.org/officeDocument/2006/relationships/hyperlink" Target="http://eltweb04.elta.iai/pls/iman_Production/link_to_iman?item_id=1037M834-001" TargetMode="External"/><Relationship Id="rId119" Type="http://schemas.openxmlformats.org/officeDocument/2006/relationships/hyperlink" Target="http://eltweb04.elta.iai/pls/iman_Production/link_to_iman?item_id=D38999/33W17N" TargetMode="External"/><Relationship Id="rId44" Type="http://schemas.openxmlformats.org/officeDocument/2006/relationships/hyperlink" Target="http://eltweb04.elta.iai/pls/iman_Production/link_to_iman?item_id=1094F199-001" TargetMode="External"/><Relationship Id="rId65" Type="http://schemas.openxmlformats.org/officeDocument/2006/relationships/hyperlink" Target="http://eltweb04.elta.iai/pls/iman_Production/link_to_iman?item_id=1094J275-001" TargetMode="External"/><Relationship Id="rId86" Type="http://schemas.openxmlformats.org/officeDocument/2006/relationships/hyperlink" Target="http://eltweb04.elta.iai/pls/iman_Production/link_to_iman?item_id=1096L964-001" TargetMode="External"/><Relationship Id="rId130" Type="http://schemas.openxmlformats.org/officeDocument/2006/relationships/hyperlink" Target="http://eltweb04.elta.iai/pls/iman_Production/link_to_iman?item_id=M24308/26-1F" TargetMode="External"/><Relationship Id="rId151" Type="http://schemas.openxmlformats.org/officeDocument/2006/relationships/hyperlink" Target="http://eltweb04.elta.iai/pls/iman_Production/link_to_iman?item_id=MS51957-13" TargetMode="External"/><Relationship Id="rId172" Type="http://schemas.openxmlformats.org/officeDocument/2006/relationships/hyperlink" Target="http://eltweb04.elta.iai/pls/iman_Production/link_to_iman?item_id=NAS620C2" TargetMode="External"/><Relationship Id="rId193" Type="http://schemas.openxmlformats.org/officeDocument/2006/relationships/hyperlink" Target="mailto:efrat.zahor@yail-noa.co.il" TargetMode="External"/><Relationship Id="rId13" Type="http://schemas.openxmlformats.org/officeDocument/2006/relationships/hyperlink" Target="http://eltweb04.elta.iai/pls/iman_Production/link_to_iman?item_id=1037M730-001" TargetMode="External"/><Relationship Id="rId109" Type="http://schemas.openxmlformats.org/officeDocument/2006/relationships/hyperlink" Target="http://eltweb04.elta.iai/pls/iman_Production/link_to_iman?item_id=A-A-52080-B-3%20BLACK" TargetMode="External"/><Relationship Id="rId34" Type="http://schemas.openxmlformats.org/officeDocument/2006/relationships/hyperlink" Target="http://eltweb04.elta.iai/pls/iman_Production/link_to_iman?item_id=1039F843-001" TargetMode="External"/><Relationship Id="rId50" Type="http://schemas.openxmlformats.org/officeDocument/2006/relationships/hyperlink" Target="http://eltweb04.elta.iai/pls/iman_Production/link_to_iman?item_id=1094F807-001" TargetMode="External"/><Relationship Id="rId55" Type="http://schemas.openxmlformats.org/officeDocument/2006/relationships/hyperlink" Target="http://eltweb04.elta.iai/pls/iman_Production/link_to_iman?item_id=1094F827-001" TargetMode="External"/><Relationship Id="rId76" Type="http://schemas.openxmlformats.org/officeDocument/2006/relationships/hyperlink" Target="http://eltweb04.elta.iai/pls/iman_Production/link_to_iman?item_id=1094Y686-001" TargetMode="External"/><Relationship Id="rId97" Type="http://schemas.openxmlformats.org/officeDocument/2006/relationships/hyperlink" Target="http://eltweb04.elta.iai/pls/iman_Production/link_to_iman?item_id=6930B621-002" TargetMode="External"/><Relationship Id="rId104" Type="http://schemas.openxmlformats.org/officeDocument/2006/relationships/hyperlink" Target="http://eltweb04.elta.iai/pls/iman_Production/link_to_iman?item_id=6931A250-001" TargetMode="External"/><Relationship Id="rId120" Type="http://schemas.openxmlformats.org/officeDocument/2006/relationships/hyperlink" Target="http://eltweb04.elta.iai/pls/iman_Production/link_to_iman?item_id=D38999/33W21N" TargetMode="External"/><Relationship Id="rId125" Type="http://schemas.openxmlformats.org/officeDocument/2006/relationships/hyperlink" Target="http://eltweb04.elta.iai/pls/iman_Production/link_to_iman?item_id=FT1033-2L" TargetMode="External"/><Relationship Id="rId141" Type="http://schemas.openxmlformats.org/officeDocument/2006/relationships/hyperlink" Target="http://eltweb04.elta.iai/pls/iman_Production/link_to_iman?item_id=MS24693-C49" TargetMode="External"/><Relationship Id="rId146" Type="http://schemas.openxmlformats.org/officeDocument/2006/relationships/hyperlink" Target="http://eltweb04.elta.iai/pls/iman_Production/link_to_iman?item_id=MS35338-135" TargetMode="External"/><Relationship Id="rId167" Type="http://schemas.openxmlformats.org/officeDocument/2006/relationships/hyperlink" Target="http://eltweb04.elta.iai/pls/iman_Production/link_to_iman?item_id=NAS1352C08-10" TargetMode="External"/><Relationship Id="rId188" Type="http://schemas.openxmlformats.org/officeDocument/2006/relationships/hyperlink" Target="http://eltweb04.elta.iai/pls/iman_Production/link_to_iman?item_id=TRM-2107-MC-TNC-02" TargetMode="External"/><Relationship Id="rId7" Type="http://schemas.openxmlformats.org/officeDocument/2006/relationships/hyperlink" Target="http://eltweb04.elta.iai/pls/iman_Production/link_to_iman?item_id=1033A448-001" TargetMode="External"/><Relationship Id="rId71" Type="http://schemas.openxmlformats.org/officeDocument/2006/relationships/hyperlink" Target="http://eltweb04.elta.iai/pls/iman_Production/link_to_iman?item_id=1094K755-001" TargetMode="External"/><Relationship Id="rId92" Type="http://schemas.openxmlformats.org/officeDocument/2006/relationships/hyperlink" Target="http://eltweb04.elta.iai/pls/iman_Production/link_to_iman?item_id=19S732-K04S5" TargetMode="External"/><Relationship Id="rId162" Type="http://schemas.openxmlformats.org/officeDocument/2006/relationships/hyperlink" Target="http://eltweb04.elta.iai/pls/iman_Production/link_to_iman?item_id=MS51957-4" TargetMode="External"/><Relationship Id="rId183" Type="http://schemas.openxmlformats.org/officeDocument/2006/relationships/hyperlink" Target="http://eltweb04.elta.iai/pls/iman_Production/link_to_iman?item_id=R404N05000" TargetMode="External"/><Relationship Id="rId2" Type="http://schemas.openxmlformats.org/officeDocument/2006/relationships/hyperlink" Target="http://eltweb04.elta.iai/pls/iman_Production/link_to_iman?item_id=1022L945-005" TargetMode="External"/><Relationship Id="rId29" Type="http://schemas.openxmlformats.org/officeDocument/2006/relationships/hyperlink" Target="http://eltweb04.elta.iai/pls/iman_Production/link_to_iman?item_id=1037M850-001" TargetMode="External"/><Relationship Id="rId24" Type="http://schemas.openxmlformats.org/officeDocument/2006/relationships/hyperlink" Target="http://eltweb04.elta.iai/pls/iman_Production/link_to_iman?item_id=1037M835-001" TargetMode="External"/><Relationship Id="rId40" Type="http://schemas.openxmlformats.org/officeDocument/2006/relationships/hyperlink" Target="http://eltweb04.elta.iai/pls/iman_Production/link_to_iman?item_id=1094F184-001" TargetMode="External"/><Relationship Id="rId45" Type="http://schemas.openxmlformats.org/officeDocument/2006/relationships/hyperlink" Target="http://eltweb04.elta.iai/pls/iman_Production/link_to_iman?item_id=1094F207-001" TargetMode="External"/><Relationship Id="rId66" Type="http://schemas.openxmlformats.org/officeDocument/2006/relationships/hyperlink" Target="http://eltweb04.elta.iai/pls/iman_Production/link_to_iman?item_id=1094J281-001" TargetMode="External"/><Relationship Id="rId87" Type="http://schemas.openxmlformats.org/officeDocument/2006/relationships/hyperlink" Target="http://eltweb04.elta.iai/pls/iman_Production/link_to_iman?item_id=1096L965-001" TargetMode="External"/><Relationship Id="rId110" Type="http://schemas.openxmlformats.org/officeDocument/2006/relationships/hyperlink" Target="http://eltweb04.elta.iai/pls/iman_Production/link_to_iman?item_id=ADT-2793-TF-SMF-02" TargetMode="External"/><Relationship Id="rId115" Type="http://schemas.openxmlformats.org/officeDocument/2006/relationships/hyperlink" Target="http://eltweb04.elta.iai/pls/iman_Production/link_to_iman?item_id=C0402C104K4RACTU" TargetMode="External"/><Relationship Id="rId131" Type="http://schemas.openxmlformats.org/officeDocument/2006/relationships/hyperlink" Target="http://eltweb04.elta.iai/pls/iman_Production/link_to_iman?item_id=MS15795-802" TargetMode="External"/><Relationship Id="rId136" Type="http://schemas.openxmlformats.org/officeDocument/2006/relationships/hyperlink" Target="http://eltweb04.elta.iai/pls/iman_Production/link_to_iman?item_id=MS16995-16" TargetMode="External"/><Relationship Id="rId157" Type="http://schemas.openxmlformats.org/officeDocument/2006/relationships/hyperlink" Target="http://eltweb04.elta.iai/pls/iman_Production/link_to_iman?item_id=MS51957-26" TargetMode="External"/><Relationship Id="rId178" Type="http://schemas.openxmlformats.org/officeDocument/2006/relationships/hyperlink" Target="http://eltweb04.elta.iai/pls/iman_Production/link_to_iman?item_id=PSOT03C-LF-T7" TargetMode="External"/><Relationship Id="rId61" Type="http://schemas.openxmlformats.org/officeDocument/2006/relationships/hyperlink" Target="http://eltweb04.elta.iai/pls/iman_Production/link_to_iman?item_id=1094F876-001" TargetMode="External"/><Relationship Id="rId82" Type="http://schemas.openxmlformats.org/officeDocument/2006/relationships/hyperlink" Target="http://eltweb04.elta.iai/pls/iman_Production/link_to_iman?item_id=1096L953-001" TargetMode="External"/><Relationship Id="rId152" Type="http://schemas.openxmlformats.org/officeDocument/2006/relationships/hyperlink" Target="http://eltweb04.elta.iai/pls/iman_Production/link_to_iman?item_id=MS51957-14" TargetMode="External"/><Relationship Id="rId173" Type="http://schemas.openxmlformats.org/officeDocument/2006/relationships/hyperlink" Target="http://eltweb04.elta.iai/pls/iman_Production/link_to_iman?item_id=NAS620C4" TargetMode="External"/><Relationship Id="rId194" Type="http://schemas.openxmlformats.org/officeDocument/2006/relationships/hyperlink" Target="mailto:adam@kaytech.com" TargetMode="External"/><Relationship Id="rId19" Type="http://schemas.openxmlformats.org/officeDocument/2006/relationships/hyperlink" Target="http://eltweb04.elta.iai/pls/iman_Production/link_to_iman?item_id=1037M822-001" TargetMode="External"/><Relationship Id="rId14" Type="http://schemas.openxmlformats.org/officeDocument/2006/relationships/hyperlink" Target="http://eltweb04.elta.iai/pls/iman_Production/link_to_iman?item_id=1037M732-001" TargetMode="External"/><Relationship Id="rId30" Type="http://schemas.openxmlformats.org/officeDocument/2006/relationships/hyperlink" Target="http://eltweb04.elta.iai/pls/iman_Production/link_to_iman?item_id=1037M859-001" TargetMode="External"/><Relationship Id="rId35" Type="http://schemas.openxmlformats.org/officeDocument/2006/relationships/hyperlink" Target="http://eltweb04.elta.iai/pls/iman_Production/link_to_iman?item_id=1039F846-001" TargetMode="External"/><Relationship Id="rId56" Type="http://schemas.openxmlformats.org/officeDocument/2006/relationships/hyperlink" Target="http://eltweb04.elta.iai/pls/iman_Production/link_to_iman?item_id=1094F847-001" TargetMode="External"/><Relationship Id="rId77" Type="http://schemas.openxmlformats.org/officeDocument/2006/relationships/hyperlink" Target="http://eltweb04.elta.iai/pls/iman_Production/link_to_iman?item_id=1094Y690-001" TargetMode="External"/><Relationship Id="rId100" Type="http://schemas.openxmlformats.org/officeDocument/2006/relationships/hyperlink" Target="http://eltweb04.elta.iai/pls/iman_Production/link_to_iman?item_id=6931A090-001" TargetMode="External"/><Relationship Id="rId105" Type="http://schemas.openxmlformats.org/officeDocument/2006/relationships/hyperlink" Target="http://eltweb04.elta.iai/pls/iman_Production/link_to_iman?item_id=6931A350-001" TargetMode="External"/><Relationship Id="rId126" Type="http://schemas.openxmlformats.org/officeDocument/2006/relationships/hyperlink" Target="http://eltweb04.elta.iai/pls/iman_Production/link_to_iman?item_id=FT1737HS-8-8-A" TargetMode="External"/><Relationship Id="rId147" Type="http://schemas.openxmlformats.org/officeDocument/2006/relationships/hyperlink" Target="http://eltweb04.elta.iai/pls/iman_Production/link_to_iman?item_id=MS35338-136" TargetMode="External"/><Relationship Id="rId168" Type="http://schemas.openxmlformats.org/officeDocument/2006/relationships/hyperlink" Target="http://eltweb04.elta.iai/pls/iman_Production/link_to_iman?item_id=NAS1352C08-7" TargetMode="External"/><Relationship Id="rId8" Type="http://schemas.openxmlformats.org/officeDocument/2006/relationships/hyperlink" Target="http://eltweb04.elta.iai/pls/iman_Production/link_to_iman?item_id=1036N114-001" TargetMode="External"/><Relationship Id="rId51" Type="http://schemas.openxmlformats.org/officeDocument/2006/relationships/hyperlink" Target="http://eltweb04.elta.iai/pls/iman_Production/link_to_iman?item_id=1094F823-001" TargetMode="External"/><Relationship Id="rId72" Type="http://schemas.openxmlformats.org/officeDocument/2006/relationships/hyperlink" Target="http://eltweb04.elta.iai/pls/iman_Production/link_to_iman?item_id=1094Y676-001" TargetMode="External"/><Relationship Id="rId93" Type="http://schemas.openxmlformats.org/officeDocument/2006/relationships/hyperlink" Target="http://eltweb04.elta.iai/pls/iman_Production/link_to_iman?item_id=2082-6040-03" TargetMode="External"/><Relationship Id="rId98" Type="http://schemas.openxmlformats.org/officeDocument/2006/relationships/hyperlink" Target="http://eltweb04.elta.iai/pls/iman_Production/link_to_iman?item_id=6931A080-001" TargetMode="External"/><Relationship Id="rId121" Type="http://schemas.openxmlformats.org/officeDocument/2006/relationships/hyperlink" Target="http://eltweb04.elta.iai/pls/iman_Production/link_to_iman?item_id=D791639-8/10-B" TargetMode="External"/><Relationship Id="rId142" Type="http://schemas.openxmlformats.org/officeDocument/2006/relationships/hyperlink" Target="http://eltweb04.elta.iai/pls/iman_Production/link_to_iman?item_id=MS3213-22" TargetMode="External"/><Relationship Id="rId163" Type="http://schemas.openxmlformats.org/officeDocument/2006/relationships/hyperlink" Target="http://eltweb04.elta.iai/pls/iman_Production/link_to_iman?item_id=MS51957-7" TargetMode="External"/><Relationship Id="rId184" Type="http://schemas.openxmlformats.org/officeDocument/2006/relationships/hyperlink" Target="http://eltweb04.elta.iai/pls/iman_Production/link_to_iman?item_id=SMDA03LCC-LF-T7" TargetMode="External"/><Relationship Id="rId189" Type="http://schemas.openxmlformats.org/officeDocument/2006/relationships/hyperlink" Target="http://eltweb04.elta.iai/pls/iman_Production/link_to_iman?item_id=TVBJW-13-35SPA" TargetMode="External"/><Relationship Id="rId3" Type="http://schemas.openxmlformats.org/officeDocument/2006/relationships/hyperlink" Target="http://eltweb04.elta.iai/pls/iman_Production/link_to_iman?item_id=1022L967-003" TargetMode="External"/><Relationship Id="rId25" Type="http://schemas.openxmlformats.org/officeDocument/2006/relationships/hyperlink" Target="http://eltweb04.elta.iai/pls/iman_Production/link_to_iman?item_id=1037M836-001" TargetMode="External"/><Relationship Id="rId46" Type="http://schemas.openxmlformats.org/officeDocument/2006/relationships/hyperlink" Target="http://eltweb04.elta.iai/pls/iman_Production/link_to_iman?item_id=1094F208-001" TargetMode="External"/><Relationship Id="rId67" Type="http://schemas.openxmlformats.org/officeDocument/2006/relationships/hyperlink" Target="http://eltweb04.elta.iai/pls/iman_Production/link_to_iman?item_id=1094J287-001" TargetMode="External"/><Relationship Id="rId116" Type="http://schemas.openxmlformats.org/officeDocument/2006/relationships/hyperlink" Target="http://eltweb04.elta.iai/pls/iman_Production/link_to_iman?item_id=C10-218" TargetMode="External"/><Relationship Id="rId137" Type="http://schemas.openxmlformats.org/officeDocument/2006/relationships/hyperlink" Target="http://eltweb04.elta.iai/pls/iman_Production/link_to_iman?item_id=MS16996-10" TargetMode="External"/><Relationship Id="rId158" Type="http://schemas.openxmlformats.org/officeDocument/2006/relationships/hyperlink" Target="http://eltweb04.elta.iai/pls/iman_Production/link_to_iman?item_id=MS51957-27" TargetMode="External"/><Relationship Id="rId20" Type="http://schemas.openxmlformats.org/officeDocument/2006/relationships/hyperlink" Target="http://eltweb04.elta.iai/pls/iman_Production/link_to_iman?item_id=1037M823-001" TargetMode="External"/><Relationship Id="rId41" Type="http://schemas.openxmlformats.org/officeDocument/2006/relationships/hyperlink" Target="http://eltweb04.elta.iai/pls/iman_Production/link_to_iman?item_id=1094F187-002" TargetMode="External"/><Relationship Id="rId62" Type="http://schemas.openxmlformats.org/officeDocument/2006/relationships/hyperlink" Target="http://eltweb04.elta.iai/pls/iman_Production/link_to_iman?item_id=1094F897-001" TargetMode="External"/><Relationship Id="rId83" Type="http://schemas.openxmlformats.org/officeDocument/2006/relationships/hyperlink" Target="http://eltweb04.elta.iai/pls/iman_Production/link_to_iman?item_id=1096L954-001" TargetMode="External"/><Relationship Id="rId88" Type="http://schemas.openxmlformats.org/officeDocument/2006/relationships/hyperlink" Target="http://eltweb04.elta.iai/pls/iman_Production/link_to_iman?item_id=1099E950-001" TargetMode="External"/><Relationship Id="rId111" Type="http://schemas.openxmlformats.org/officeDocument/2006/relationships/hyperlink" Target="http://eltweb04.elta.iai/pls/iman_Production/link_to_iman?item_id=AS21919WDG05" TargetMode="External"/><Relationship Id="rId132" Type="http://schemas.openxmlformats.org/officeDocument/2006/relationships/hyperlink" Target="http://eltweb04.elta.iai/pls/iman_Production/link_to_iman?item_id=MS15795-803" TargetMode="External"/><Relationship Id="rId153" Type="http://schemas.openxmlformats.org/officeDocument/2006/relationships/hyperlink" Target="http://eltweb04.elta.iai/pls/iman_Production/link_to_iman?item_id=MS51957-15" TargetMode="External"/><Relationship Id="rId174" Type="http://schemas.openxmlformats.org/officeDocument/2006/relationships/hyperlink" Target="http://eltweb04.elta.iai/pls/iman_Production/link_to_iman?item_id=NAS620C6" TargetMode="External"/><Relationship Id="rId179" Type="http://schemas.openxmlformats.org/officeDocument/2006/relationships/hyperlink" Target="http://eltweb04.elta.iai/pls/iman_Production/link_to_iman?item_id=PTL-10-426" TargetMode="External"/><Relationship Id="rId195" Type="http://schemas.openxmlformats.org/officeDocument/2006/relationships/printerSettings" Target="../printerSettings/printerSettings1.bin"/><Relationship Id="rId190" Type="http://schemas.openxmlformats.org/officeDocument/2006/relationships/hyperlink" Target="http://eltweb04.elta.iai/pls/iman_Production/link_to_iman?item_id=ZB4PD-42-S+" TargetMode="External"/><Relationship Id="rId15" Type="http://schemas.openxmlformats.org/officeDocument/2006/relationships/hyperlink" Target="http://eltweb04.elta.iai/pls/iman_Production/link_to_iman?item_id=1037M818-001" TargetMode="External"/><Relationship Id="rId36" Type="http://schemas.openxmlformats.org/officeDocument/2006/relationships/hyperlink" Target="http://eltweb04.elta.iai/pls/iman_Production/link_to_iman?item_id=1039F847-001" TargetMode="External"/><Relationship Id="rId57" Type="http://schemas.openxmlformats.org/officeDocument/2006/relationships/hyperlink" Target="http://eltweb04.elta.iai/pls/iman_Production/link_to_iman?item_id=1094F868-001" TargetMode="External"/><Relationship Id="rId106" Type="http://schemas.openxmlformats.org/officeDocument/2006/relationships/hyperlink" Target="http://eltweb04.elta.iai/pls/iman_Production/link_to_iman?item_id=6931A400-001" TargetMode="External"/><Relationship Id="rId127" Type="http://schemas.openxmlformats.org/officeDocument/2006/relationships/hyperlink" Target="http://eltweb04.elta.iai/pls/iman_Production/link_to_iman?item_id=LOCTITE%20222-10CC" TargetMode="External"/><Relationship Id="rId10" Type="http://schemas.openxmlformats.org/officeDocument/2006/relationships/hyperlink" Target="http://eltweb04.elta.iai/pls/iman_Production/link_to_iman?item_id=1037M719-001" TargetMode="External"/><Relationship Id="rId31" Type="http://schemas.openxmlformats.org/officeDocument/2006/relationships/hyperlink" Target="http://eltweb04.elta.iai/pls/iman_Production/link_to_iman?item_id=1039F502-001" TargetMode="External"/><Relationship Id="rId52" Type="http://schemas.openxmlformats.org/officeDocument/2006/relationships/hyperlink" Target="http://eltweb04.elta.iai/pls/iman_Production/link_to_iman?item_id=1094F824-001" TargetMode="External"/><Relationship Id="rId73" Type="http://schemas.openxmlformats.org/officeDocument/2006/relationships/hyperlink" Target="http://eltweb04.elta.iai/pls/iman_Production/link_to_iman?item_id=1094Y679-001" TargetMode="External"/><Relationship Id="rId78" Type="http://schemas.openxmlformats.org/officeDocument/2006/relationships/hyperlink" Target="http://eltweb04.elta.iai/pls/iman_Production/link_to_iman?item_id=1094Y691-001" TargetMode="External"/><Relationship Id="rId94" Type="http://schemas.openxmlformats.org/officeDocument/2006/relationships/hyperlink" Target="http://eltweb04.elta.iai/pls/iman_Production/link_to_iman?item_id=21-16.54" TargetMode="External"/><Relationship Id="rId99" Type="http://schemas.openxmlformats.org/officeDocument/2006/relationships/hyperlink" Target="http://eltweb04.elta.iai/pls/iman_Production/link_to_iman?item_id=6931A081-001" TargetMode="External"/><Relationship Id="rId101" Type="http://schemas.openxmlformats.org/officeDocument/2006/relationships/hyperlink" Target="http://eltweb04.elta.iai/pls/iman_Production/link_to_iman?item_id=6931A091-001" TargetMode="External"/><Relationship Id="rId122" Type="http://schemas.openxmlformats.org/officeDocument/2006/relationships/hyperlink" Target="http://eltweb04.elta.iai/pls/iman_Production/link_to_iman?item_id=DC1M-04GD31W1DR" TargetMode="External"/><Relationship Id="rId143" Type="http://schemas.openxmlformats.org/officeDocument/2006/relationships/hyperlink" Target="http://eltweb04.elta.iai/pls/iman_Production/link_to_iman?item_id=MS3367-5-9" TargetMode="External"/><Relationship Id="rId148" Type="http://schemas.openxmlformats.org/officeDocument/2006/relationships/hyperlink" Target="http://eltweb04.elta.iai/pls/iman_Production/link_to_iman?item_id=MS35338-137" TargetMode="External"/><Relationship Id="rId164" Type="http://schemas.openxmlformats.org/officeDocument/2006/relationships/hyperlink" Target="http://eltweb04.elta.iai/pls/iman_Production/link_to_iman?item_id=MS51957-9" TargetMode="External"/><Relationship Id="rId169" Type="http://schemas.openxmlformats.org/officeDocument/2006/relationships/hyperlink" Target="http://eltweb04.elta.iai/pls/iman_Production/link_to_iman?item_id=NAS1676C4" TargetMode="External"/><Relationship Id="rId185" Type="http://schemas.openxmlformats.org/officeDocument/2006/relationships/hyperlink" Target="http://eltweb04.elta.iai/pls/iman_Production/link_to_iman?item_id=TM1S4-C" TargetMode="External"/><Relationship Id="rId4" Type="http://schemas.openxmlformats.org/officeDocument/2006/relationships/hyperlink" Target="http://eltweb04.elta.iai/pls/iman_Production/link_to_iman?item_id=1022L987-001" TargetMode="External"/><Relationship Id="rId9" Type="http://schemas.openxmlformats.org/officeDocument/2006/relationships/hyperlink" Target="http://eltweb04.elta.iai/pls/iman_Production/link_to_iman?item_id=1037M713-001" TargetMode="External"/><Relationship Id="rId180" Type="http://schemas.openxmlformats.org/officeDocument/2006/relationships/hyperlink" Target="http://eltweb04.elta.iai/pls/iman_Production/link_to_iman?item_id=R191.843.401" TargetMode="External"/><Relationship Id="rId26" Type="http://schemas.openxmlformats.org/officeDocument/2006/relationships/hyperlink" Target="http://eltweb04.elta.iai/pls/iman_Production/link_to_iman?item_id=1037M839-001" TargetMode="External"/><Relationship Id="rId47" Type="http://schemas.openxmlformats.org/officeDocument/2006/relationships/hyperlink" Target="http://eltweb04.elta.iai/pls/iman_Production/link_to_iman?item_id=1094F211-002" TargetMode="External"/><Relationship Id="rId68" Type="http://schemas.openxmlformats.org/officeDocument/2006/relationships/hyperlink" Target="http://eltweb04.elta.iai/pls/iman_Production/link_to_iman?item_id=1094K661-001" TargetMode="External"/><Relationship Id="rId89" Type="http://schemas.openxmlformats.org/officeDocument/2006/relationships/hyperlink" Target="http://eltweb04.elta.iai/pls/iman_Production/link_to_iman?item_id=1469074-1" TargetMode="External"/><Relationship Id="rId112" Type="http://schemas.openxmlformats.org/officeDocument/2006/relationships/hyperlink" Target="http://eltweb04.elta.iai/pls/iman_Production/link_to_iman?item_id=ATT-0290-10-SMA-02" TargetMode="External"/><Relationship Id="rId133" Type="http://schemas.openxmlformats.org/officeDocument/2006/relationships/hyperlink" Target="http://eltweb04.elta.iai/pls/iman_Production/link_to_iman?item_id=MS15795-805" TargetMode="External"/><Relationship Id="rId154" Type="http://schemas.openxmlformats.org/officeDocument/2006/relationships/hyperlink" Target="http://eltweb04.elta.iai/pls/iman_Production/link_to_iman?item_id=MS51957-17" TargetMode="External"/><Relationship Id="rId175" Type="http://schemas.openxmlformats.org/officeDocument/2006/relationships/hyperlink" Target="http://eltweb04.elta.iai/pls/iman_Production/link_to_iman?item_id=NAS620C8" TargetMode="External"/><Relationship Id="rId16" Type="http://schemas.openxmlformats.org/officeDocument/2006/relationships/hyperlink" Target="http://eltweb04.elta.iai/pls/iman_Production/link_to_iman?item_id=1037M819-001" TargetMode="External"/><Relationship Id="rId37" Type="http://schemas.openxmlformats.org/officeDocument/2006/relationships/hyperlink" Target="http://eltweb04.elta.iai/pls/iman_Production/link_to_iman?item_id=1039F852-001" TargetMode="External"/><Relationship Id="rId58" Type="http://schemas.openxmlformats.org/officeDocument/2006/relationships/hyperlink" Target="http://eltweb04.elta.iai/pls/iman_Production/link_to_iman?item_id=1094F869-001" TargetMode="External"/><Relationship Id="rId79" Type="http://schemas.openxmlformats.org/officeDocument/2006/relationships/hyperlink" Target="http://eltweb04.elta.iai/pls/iman_Production/link_to_iman?item_id=1094Y692-001" TargetMode="External"/><Relationship Id="rId102" Type="http://schemas.openxmlformats.org/officeDocument/2006/relationships/hyperlink" Target="http://eltweb04.elta.iai/pls/iman_Production/link_to_iman?item_id=6931A200-001" TargetMode="External"/><Relationship Id="rId123" Type="http://schemas.openxmlformats.org/officeDocument/2006/relationships/hyperlink" Target="http://eltweb04.elta.iai/pls/iman_Production/link_to_iman?item_id=DS26LV31TMX" TargetMode="External"/><Relationship Id="rId144" Type="http://schemas.openxmlformats.org/officeDocument/2006/relationships/hyperlink" Target="http://eltweb04.elta.iai/pls/iman_Production/link_to_iman?item_id=MS3367-7-9" TargetMode="External"/><Relationship Id="rId90" Type="http://schemas.openxmlformats.org/officeDocument/2006/relationships/hyperlink" Target="http://eltweb04.elta.iai/pls/iman_Production/link_to_iman?item_id=1469362-1" TargetMode="External"/><Relationship Id="rId165" Type="http://schemas.openxmlformats.org/officeDocument/2006/relationships/hyperlink" Target="http://eltweb04.elta.iai/pls/iman_Production/link_to_iman?item_id=NAS1352C02-5" TargetMode="External"/><Relationship Id="rId186" Type="http://schemas.openxmlformats.org/officeDocument/2006/relationships/hyperlink" Target="http://eltweb04.elta.iai/pls/iman_Production/link_to_iman?item_id=TM2S6" TargetMode="External"/><Relationship Id="rId27" Type="http://schemas.openxmlformats.org/officeDocument/2006/relationships/hyperlink" Target="http://eltweb04.elta.iai/pls/iman_Production/link_to_iman?item_id=1037M840-001" TargetMode="External"/><Relationship Id="rId48" Type="http://schemas.openxmlformats.org/officeDocument/2006/relationships/hyperlink" Target="http://eltweb04.elta.iai/pls/iman_Production/link_to_iman?item_id=1094F212-002" TargetMode="External"/><Relationship Id="rId69" Type="http://schemas.openxmlformats.org/officeDocument/2006/relationships/hyperlink" Target="http://eltweb04.elta.iai/pls/iman_Production/link_to_iman?item_id=1094K662-001" TargetMode="External"/><Relationship Id="rId113" Type="http://schemas.openxmlformats.org/officeDocument/2006/relationships/hyperlink" Target="http://eltweb04.elta.iai/pls/iman_Production/link_to_iman?item_id=BACS38K4" TargetMode="External"/><Relationship Id="rId134" Type="http://schemas.openxmlformats.org/officeDocument/2006/relationships/hyperlink" Target="http://eltweb04.elta.iai/pls/iman_Production/link_to_iman?item_id=MS15795-807" TargetMode="External"/><Relationship Id="rId80" Type="http://schemas.openxmlformats.org/officeDocument/2006/relationships/hyperlink" Target="http://eltweb04.elta.iai/pls/iman_Production/link_to_iman?item_id=1094Y693-001" TargetMode="External"/><Relationship Id="rId155" Type="http://schemas.openxmlformats.org/officeDocument/2006/relationships/hyperlink" Target="http://eltweb04.elta.iai/pls/iman_Production/link_to_iman?item_id=MS51957-19" TargetMode="External"/><Relationship Id="rId176" Type="http://schemas.openxmlformats.org/officeDocument/2006/relationships/hyperlink" Target="http://eltweb04.elta.iai/pls/iman_Production/link_to_iman?item_id=NAS662C2R3" TargetMode="External"/><Relationship Id="rId17" Type="http://schemas.openxmlformats.org/officeDocument/2006/relationships/hyperlink" Target="http://eltweb04.elta.iai/pls/iman_Production/link_to_iman?item_id=1037M820-001" TargetMode="External"/><Relationship Id="rId38" Type="http://schemas.openxmlformats.org/officeDocument/2006/relationships/hyperlink" Target="http://eltweb04.elta.iai/pls/iman_Production/link_to_iman?item_id=1054875-1" TargetMode="External"/><Relationship Id="rId59" Type="http://schemas.openxmlformats.org/officeDocument/2006/relationships/hyperlink" Target="http://eltweb04.elta.iai/pls/iman_Production/link_to_iman?item_id=1094F874-001" TargetMode="External"/><Relationship Id="rId103" Type="http://schemas.openxmlformats.org/officeDocument/2006/relationships/hyperlink" Target="http://eltweb04.elta.iai/pls/iman_Production/link_to_iman?item_id=6931A201-001" TargetMode="External"/><Relationship Id="rId124" Type="http://schemas.openxmlformats.org/officeDocument/2006/relationships/hyperlink" Target="http://eltweb04.elta.iai/pls/iman_Production/link_to_iman?item_id=DS26LV32ATMX/NOPB" TargetMode="External"/><Relationship Id="rId70" Type="http://schemas.openxmlformats.org/officeDocument/2006/relationships/hyperlink" Target="http://eltweb04.elta.iai/pls/iman_Production/link_to_iman?item_id=1094K734-001" TargetMode="External"/><Relationship Id="rId91" Type="http://schemas.openxmlformats.org/officeDocument/2006/relationships/hyperlink" Target="http://eltweb04.elta.iai/pls/iman_Production/link_to_iman?item_id=19K101-K00L5" TargetMode="External"/><Relationship Id="rId145" Type="http://schemas.openxmlformats.org/officeDocument/2006/relationships/hyperlink" Target="http://eltweb04.elta.iai/pls/iman_Production/link_to_iman?item_id=MS35338-134" TargetMode="External"/><Relationship Id="rId166" Type="http://schemas.openxmlformats.org/officeDocument/2006/relationships/hyperlink" Target="http://eltweb04.elta.iai/pls/iman_Production/link_to_iman?item_id=NAS1352C04-12" TargetMode="External"/><Relationship Id="rId187" Type="http://schemas.openxmlformats.org/officeDocument/2006/relationships/hyperlink" Target="http://eltweb04.elta.iai/pls/iman_Production/link_to_iman?item_id=TM2S8" TargetMode="External"/><Relationship Id="rId1" Type="http://schemas.openxmlformats.org/officeDocument/2006/relationships/hyperlink" Target="http://eltweb04.elta.iai/pls/iman_Production/link_to_iman?item_id=6931A105-001" TargetMode="External"/><Relationship Id="rId28" Type="http://schemas.openxmlformats.org/officeDocument/2006/relationships/hyperlink" Target="http://eltweb04.elta.iai/pls/iman_Production/link_to_iman?item_id=1037M844-001" TargetMode="External"/><Relationship Id="rId49" Type="http://schemas.openxmlformats.org/officeDocument/2006/relationships/hyperlink" Target="http://eltweb04.elta.iai/pls/iman_Production/link_to_iman?item_id=1094F214-001" TargetMode="External"/><Relationship Id="rId114" Type="http://schemas.openxmlformats.org/officeDocument/2006/relationships/hyperlink" Target="http://eltweb04.elta.iai/pls/iman_Production/link_to_iman?item_id=BLD5000/01" TargetMode="External"/><Relationship Id="rId60" Type="http://schemas.openxmlformats.org/officeDocument/2006/relationships/hyperlink" Target="http://eltweb04.elta.iai/pls/iman_Production/link_to_iman?item_id=1094F875-001" TargetMode="External"/><Relationship Id="rId81" Type="http://schemas.openxmlformats.org/officeDocument/2006/relationships/hyperlink" Target="http://eltweb04.elta.iai/pls/iman_Production/link_to_iman?item_id=1096L950-001" TargetMode="External"/><Relationship Id="rId135" Type="http://schemas.openxmlformats.org/officeDocument/2006/relationships/hyperlink" Target="http://eltweb04.elta.iai/pls/iman_Production/link_to_iman?item_id=MS16995-10" TargetMode="External"/><Relationship Id="rId156" Type="http://schemas.openxmlformats.org/officeDocument/2006/relationships/hyperlink" Target="http://eltweb04.elta.iai/pls/iman_Production/link_to_iman?item_id=MS51957-22" TargetMode="External"/><Relationship Id="rId177" Type="http://schemas.openxmlformats.org/officeDocument/2006/relationships/hyperlink" Target="http://eltweb04.elta.iai/pls/iman_Production/link_to_iman?item_id=PLT1M-M" TargetMode="External"/><Relationship Id="rId18" Type="http://schemas.openxmlformats.org/officeDocument/2006/relationships/hyperlink" Target="http://eltweb04.elta.iai/pls/iman_Production/link_to_iman?item_id=1037M821-001" TargetMode="External"/><Relationship Id="rId39" Type="http://schemas.openxmlformats.org/officeDocument/2006/relationships/hyperlink" Target="http://eltweb04.elta.iai/pls/iman_Production/link_to_iman?item_id=1094F182-0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D678-C7DE-4BCA-9398-2A37E7764CAF}">
  <dimension ref="A1:DE210"/>
  <sheetViews>
    <sheetView tabSelected="1" topLeftCell="AZ7" zoomScaleNormal="100" workbookViewId="0">
      <selection activeCell="BL19" sqref="BL19"/>
    </sheetView>
  </sheetViews>
  <sheetFormatPr defaultRowHeight="12.75" x14ac:dyDescent="0.2"/>
  <cols>
    <col min="1" max="1" width="6.5703125" style="3" bestFit="1" customWidth="1"/>
    <col min="2" max="2" width="32.28515625" style="3" bestFit="1" customWidth="1"/>
    <col min="3" max="3" width="9.42578125" style="3" bestFit="1" customWidth="1"/>
    <col min="4" max="4" width="14.28515625" style="3" bestFit="1" customWidth="1"/>
    <col min="5" max="5" width="14.28515625" style="3" customWidth="1"/>
    <col min="6" max="6" width="61.5703125" style="3" customWidth="1"/>
    <col min="7" max="7" width="9.85546875" style="3" bestFit="1" customWidth="1"/>
    <col min="8" max="9" width="14.85546875" style="3" bestFit="1" customWidth="1"/>
    <col min="10" max="22" width="14.85546875" style="3" customWidth="1"/>
    <col min="23" max="23" width="24" style="3" bestFit="1" customWidth="1"/>
    <col min="24" max="24" width="18.5703125" style="3" customWidth="1"/>
    <col min="25" max="25" width="11.140625" style="3" bestFit="1" customWidth="1"/>
    <col min="26" max="26" width="23.5703125" style="3" bestFit="1" customWidth="1"/>
    <col min="27" max="27" width="21.7109375" style="3" bestFit="1" customWidth="1"/>
    <col min="28" max="28" width="20.5703125" style="3" bestFit="1" customWidth="1"/>
    <col min="29" max="29" width="35.7109375" style="3" bestFit="1" customWidth="1"/>
    <col min="30" max="30" width="32.28515625" style="3" bestFit="1" customWidth="1"/>
    <col min="31" max="31" width="11.85546875" style="3" bestFit="1" customWidth="1"/>
    <col min="32" max="32" width="12.140625" style="3" bestFit="1" customWidth="1"/>
    <col min="33" max="35" width="11.140625" style="3" bestFit="1" customWidth="1"/>
    <col min="36" max="36" width="10.7109375" style="3" bestFit="1" customWidth="1"/>
    <col min="37" max="37" width="9.7109375" style="3" bestFit="1" customWidth="1"/>
    <col min="38" max="38" width="9.85546875" style="3" bestFit="1" customWidth="1"/>
    <col min="39" max="39" width="10.28515625" style="3" bestFit="1" customWidth="1"/>
    <col min="40" max="40" width="11.28515625" style="3" bestFit="1" customWidth="1"/>
    <col min="41" max="41" width="10.5703125" style="3" bestFit="1" customWidth="1"/>
    <col min="42" max="42" width="10.28515625" style="3" bestFit="1" customWidth="1"/>
    <col min="43" max="43" width="11.140625" style="3" bestFit="1" customWidth="1"/>
    <col min="44" max="44" width="9.7109375" style="3" bestFit="1" customWidth="1"/>
    <col min="45" max="47" width="11.140625" style="3" bestFit="1" customWidth="1"/>
    <col min="48" max="48" width="10.7109375" style="3" bestFit="1" customWidth="1"/>
    <col min="49" max="49" width="9.7109375" style="3" bestFit="1" customWidth="1"/>
    <col min="50" max="50" width="9.85546875" style="3" bestFit="1" customWidth="1"/>
    <col min="51" max="51" width="10.28515625" style="3" bestFit="1" customWidth="1"/>
    <col min="52" max="52" width="11.28515625" style="3" bestFit="1" customWidth="1"/>
    <col min="53" max="53" width="10.5703125" style="3" bestFit="1" customWidth="1"/>
    <col min="54" max="54" width="10.28515625" style="3" bestFit="1" customWidth="1"/>
    <col min="55" max="55" width="11.140625" style="3" bestFit="1" customWidth="1"/>
    <col min="56" max="57" width="9.140625" style="3"/>
    <col min="58" max="58" width="14.85546875" style="3" bestFit="1" customWidth="1"/>
    <col min="59" max="59" width="9.7109375" style="3" bestFit="1" customWidth="1"/>
    <col min="60" max="274" width="9.140625" style="3"/>
    <col min="275" max="275" width="6.5703125" style="3" bestFit="1" customWidth="1"/>
    <col min="276" max="276" width="32.28515625" style="3" bestFit="1" customWidth="1"/>
    <col min="277" max="277" width="9.42578125" style="3" bestFit="1" customWidth="1"/>
    <col min="278" max="278" width="14.28515625" style="3" bestFit="1" customWidth="1"/>
    <col min="279" max="279" width="61.5703125" style="3" customWidth="1"/>
    <col min="280" max="280" width="9.85546875" style="3" bestFit="1" customWidth="1"/>
    <col min="281" max="282" width="14.85546875" style="3" bestFit="1" customWidth="1"/>
    <col min="283" max="295" width="14.85546875" style="3" customWidth="1"/>
    <col min="296" max="296" width="18.5703125" style="3" bestFit="1" customWidth="1"/>
    <col min="297" max="297" width="18.5703125" style="3" customWidth="1"/>
    <col min="298" max="530" width="9.140625" style="3"/>
    <col min="531" max="531" width="6.5703125" style="3" bestFit="1" customWidth="1"/>
    <col min="532" max="532" width="32.28515625" style="3" bestFit="1" customWidth="1"/>
    <col min="533" max="533" width="9.42578125" style="3" bestFit="1" customWidth="1"/>
    <col min="534" max="534" width="14.28515625" style="3" bestFit="1" customWidth="1"/>
    <col min="535" max="535" width="61.5703125" style="3" customWidth="1"/>
    <col min="536" max="536" width="9.85546875" style="3" bestFit="1" customWidth="1"/>
    <col min="537" max="538" width="14.85546875" style="3" bestFit="1" customWidth="1"/>
    <col min="539" max="551" width="14.85546875" style="3" customWidth="1"/>
    <col min="552" max="552" width="18.5703125" style="3" bestFit="1" customWidth="1"/>
    <col min="553" max="553" width="18.5703125" style="3" customWidth="1"/>
    <col min="554" max="786" width="9.140625" style="3"/>
    <col min="787" max="787" width="6.5703125" style="3" bestFit="1" customWidth="1"/>
    <col min="788" max="788" width="32.28515625" style="3" bestFit="1" customWidth="1"/>
    <col min="789" max="789" width="9.42578125" style="3" bestFit="1" customWidth="1"/>
    <col min="790" max="790" width="14.28515625" style="3" bestFit="1" customWidth="1"/>
    <col min="791" max="791" width="61.5703125" style="3" customWidth="1"/>
    <col min="792" max="792" width="9.85546875" style="3" bestFit="1" customWidth="1"/>
    <col min="793" max="794" width="14.85546875" style="3" bestFit="1" customWidth="1"/>
    <col min="795" max="807" width="14.85546875" style="3" customWidth="1"/>
    <col min="808" max="808" width="18.5703125" style="3" bestFit="1" customWidth="1"/>
    <col min="809" max="809" width="18.5703125" style="3" customWidth="1"/>
    <col min="810" max="1042" width="9.140625" style="3"/>
    <col min="1043" max="1043" width="6.5703125" style="3" bestFit="1" customWidth="1"/>
    <col min="1044" max="1044" width="32.28515625" style="3" bestFit="1" customWidth="1"/>
    <col min="1045" max="1045" width="9.42578125" style="3" bestFit="1" customWidth="1"/>
    <col min="1046" max="1046" width="14.28515625" style="3" bestFit="1" customWidth="1"/>
    <col min="1047" max="1047" width="61.5703125" style="3" customWidth="1"/>
    <col min="1048" max="1048" width="9.85546875" style="3" bestFit="1" customWidth="1"/>
    <col min="1049" max="1050" width="14.85546875" style="3" bestFit="1" customWidth="1"/>
    <col min="1051" max="1063" width="14.85546875" style="3" customWidth="1"/>
    <col min="1064" max="1064" width="18.5703125" style="3" bestFit="1" customWidth="1"/>
    <col min="1065" max="1065" width="18.5703125" style="3" customWidth="1"/>
    <col min="1066" max="1298" width="9.140625" style="3"/>
    <col min="1299" max="1299" width="6.5703125" style="3" bestFit="1" customWidth="1"/>
    <col min="1300" max="1300" width="32.28515625" style="3" bestFit="1" customWidth="1"/>
    <col min="1301" max="1301" width="9.42578125" style="3" bestFit="1" customWidth="1"/>
    <col min="1302" max="1302" width="14.28515625" style="3" bestFit="1" customWidth="1"/>
    <col min="1303" max="1303" width="61.5703125" style="3" customWidth="1"/>
    <col min="1304" max="1304" width="9.85546875" style="3" bestFit="1" customWidth="1"/>
    <col min="1305" max="1306" width="14.85546875" style="3" bestFit="1" customWidth="1"/>
    <col min="1307" max="1319" width="14.85546875" style="3" customWidth="1"/>
    <col min="1320" max="1320" width="18.5703125" style="3" bestFit="1" customWidth="1"/>
    <col min="1321" max="1321" width="18.5703125" style="3" customWidth="1"/>
    <col min="1322" max="1554" width="9.140625" style="3"/>
    <col min="1555" max="1555" width="6.5703125" style="3" bestFit="1" customWidth="1"/>
    <col min="1556" max="1556" width="32.28515625" style="3" bestFit="1" customWidth="1"/>
    <col min="1557" max="1557" width="9.42578125" style="3" bestFit="1" customWidth="1"/>
    <col min="1558" max="1558" width="14.28515625" style="3" bestFit="1" customWidth="1"/>
    <col min="1559" max="1559" width="61.5703125" style="3" customWidth="1"/>
    <col min="1560" max="1560" width="9.85546875" style="3" bestFit="1" customWidth="1"/>
    <col min="1561" max="1562" width="14.85546875" style="3" bestFit="1" customWidth="1"/>
    <col min="1563" max="1575" width="14.85546875" style="3" customWidth="1"/>
    <col min="1576" max="1576" width="18.5703125" style="3" bestFit="1" customWidth="1"/>
    <col min="1577" max="1577" width="18.5703125" style="3" customWidth="1"/>
    <col min="1578" max="1810" width="9.140625" style="3"/>
    <col min="1811" max="1811" width="6.5703125" style="3" bestFit="1" customWidth="1"/>
    <col min="1812" max="1812" width="32.28515625" style="3" bestFit="1" customWidth="1"/>
    <col min="1813" max="1813" width="9.42578125" style="3" bestFit="1" customWidth="1"/>
    <col min="1814" max="1814" width="14.28515625" style="3" bestFit="1" customWidth="1"/>
    <col min="1815" max="1815" width="61.5703125" style="3" customWidth="1"/>
    <col min="1816" max="1816" width="9.85546875" style="3" bestFit="1" customWidth="1"/>
    <col min="1817" max="1818" width="14.85546875" style="3" bestFit="1" customWidth="1"/>
    <col min="1819" max="1831" width="14.85546875" style="3" customWidth="1"/>
    <col min="1832" max="1832" width="18.5703125" style="3" bestFit="1" customWidth="1"/>
    <col min="1833" max="1833" width="18.5703125" style="3" customWidth="1"/>
    <col min="1834" max="2066" width="9.140625" style="3"/>
    <col min="2067" max="2067" width="6.5703125" style="3" bestFit="1" customWidth="1"/>
    <col min="2068" max="2068" width="32.28515625" style="3" bestFit="1" customWidth="1"/>
    <col min="2069" max="2069" width="9.42578125" style="3" bestFit="1" customWidth="1"/>
    <col min="2070" max="2070" width="14.28515625" style="3" bestFit="1" customWidth="1"/>
    <col min="2071" max="2071" width="61.5703125" style="3" customWidth="1"/>
    <col min="2072" max="2072" width="9.85546875" style="3" bestFit="1" customWidth="1"/>
    <col min="2073" max="2074" width="14.85546875" style="3" bestFit="1" customWidth="1"/>
    <col min="2075" max="2087" width="14.85546875" style="3" customWidth="1"/>
    <col min="2088" max="2088" width="18.5703125" style="3" bestFit="1" customWidth="1"/>
    <col min="2089" max="2089" width="18.5703125" style="3" customWidth="1"/>
    <col min="2090" max="2322" width="9.140625" style="3"/>
    <col min="2323" max="2323" width="6.5703125" style="3" bestFit="1" customWidth="1"/>
    <col min="2324" max="2324" width="32.28515625" style="3" bestFit="1" customWidth="1"/>
    <col min="2325" max="2325" width="9.42578125" style="3" bestFit="1" customWidth="1"/>
    <col min="2326" max="2326" width="14.28515625" style="3" bestFit="1" customWidth="1"/>
    <col min="2327" max="2327" width="61.5703125" style="3" customWidth="1"/>
    <col min="2328" max="2328" width="9.85546875" style="3" bestFit="1" customWidth="1"/>
    <col min="2329" max="2330" width="14.85546875" style="3" bestFit="1" customWidth="1"/>
    <col min="2331" max="2343" width="14.85546875" style="3" customWidth="1"/>
    <col min="2344" max="2344" width="18.5703125" style="3" bestFit="1" customWidth="1"/>
    <col min="2345" max="2345" width="18.5703125" style="3" customWidth="1"/>
    <col min="2346" max="2578" width="9.140625" style="3"/>
    <col min="2579" max="2579" width="6.5703125" style="3" bestFit="1" customWidth="1"/>
    <col min="2580" max="2580" width="32.28515625" style="3" bestFit="1" customWidth="1"/>
    <col min="2581" max="2581" width="9.42578125" style="3" bestFit="1" customWidth="1"/>
    <col min="2582" max="2582" width="14.28515625" style="3" bestFit="1" customWidth="1"/>
    <col min="2583" max="2583" width="61.5703125" style="3" customWidth="1"/>
    <col min="2584" max="2584" width="9.85546875" style="3" bestFit="1" customWidth="1"/>
    <col min="2585" max="2586" width="14.85546875" style="3" bestFit="1" customWidth="1"/>
    <col min="2587" max="2599" width="14.85546875" style="3" customWidth="1"/>
    <col min="2600" max="2600" width="18.5703125" style="3" bestFit="1" customWidth="1"/>
    <col min="2601" max="2601" width="18.5703125" style="3" customWidth="1"/>
    <col min="2602" max="2834" width="9.140625" style="3"/>
    <col min="2835" max="2835" width="6.5703125" style="3" bestFit="1" customWidth="1"/>
    <col min="2836" max="2836" width="32.28515625" style="3" bestFit="1" customWidth="1"/>
    <col min="2837" max="2837" width="9.42578125" style="3" bestFit="1" customWidth="1"/>
    <col min="2838" max="2838" width="14.28515625" style="3" bestFit="1" customWidth="1"/>
    <col min="2839" max="2839" width="61.5703125" style="3" customWidth="1"/>
    <col min="2840" max="2840" width="9.85546875" style="3" bestFit="1" customWidth="1"/>
    <col min="2841" max="2842" width="14.85546875" style="3" bestFit="1" customWidth="1"/>
    <col min="2843" max="2855" width="14.85546875" style="3" customWidth="1"/>
    <col min="2856" max="2856" width="18.5703125" style="3" bestFit="1" customWidth="1"/>
    <col min="2857" max="2857" width="18.5703125" style="3" customWidth="1"/>
    <col min="2858" max="3090" width="9.140625" style="3"/>
    <col min="3091" max="3091" width="6.5703125" style="3" bestFit="1" customWidth="1"/>
    <col min="3092" max="3092" width="32.28515625" style="3" bestFit="1" customWidth="1"/>
    <col min="3093" max="3093" width="9.42578125" style="3" bestFit="1" customWidth="1"/>
    <col min="3094" max="3094" width="14.28515625" style="3" bestFit="1" customWidth="1"/>
    <col min="3095" max="3095" width="61.5703125" style="3" customWidth="1"/>
    <col min="3096" max="3096" width="9.85546875" style="3" bestFit="1" customWidth="1"/>
    <col min="3097" max="3098" width="14.85546875" style="3" bestFit="1" customWidth="1"/>
    <col min="3099" max="3111" width="14.85546875" style="3" customWidth="1"/>
    <col min="3112" max="3112" width="18.5703125" style="3" bestFit="1" customWidth="1"/>
    <col min="3113" max="3113" width="18.5703125" style="3" customWidth="1"/>
    <col min="3114" max="3346" width="9.140625" style="3"/>
    <col min="3347" max="3347" width="6.5703125" style="3" bestFit="1" customWidth="1"/>
    <col min="3348" max="3348" width="32.28515625" style="3" bestFit="1" customWidth="1"/>
    <col min="3349" max="3349" width="9.42578125" style="3" bestFit="1" customWidth="1"/>
    <col min="3350" max="3350" width="14.28515625" style="3" bestFit="1" customWidth="1"/>
    <col min="3351" max="3351" width="61.5703125" style="3" customWidth="1"/>
    <col min="3352" max="3352" width="9.85546875" style="3" bestFit="1" customWidth="1"/>
    <col min="3353" max="3354" width="14.85546875" style="3" bestFit="1" customWidth="1"/>
    <col min="3355" max="3367" width="14.85546875" style="3" customWidth="1"/>
    <col min="3368" max="3368" width="18.5703125" style="3" bestFit="1" customWidth="1"/>
    <col min="3369" max="3369" width="18.5703125" style="3" customWidth="1"/>
    <col min="3370" max="3602" width="9.140625" style="3"/>
    <col min="3603" max="3603" width="6.5703125" style="3" bestFit="1" customWidth="1"/>
    <col min="3604" max="3604" width="32.28515625" style="3" bestFit="1" customWidth="1"/>
    <col min="3605" max="3605" width="9.42578125" style="3" bestFit="1" customWidth="1"/>
    <col min="3606" max="3606" width="14.28515625" style="3" bestFit="1" customWidth="1"/>
    <col min="3607" max="3607" width="61.5703125" style="3" customWidth="1"/>
    <col min="3608" max="3608" width="9.85546875" style="3" bestFit="1" customWidth="1"/>
    <col min="3609" max="3610" width="14.85546875" style="3" bestFit="1" customWidth="1"/>
    <col min="3611" max="3623" width="14.85546875" style="3" customWidth="1"/>
    <col min="3624" max="3624" width="18.5703125" style="3" bestFit="1" customWidth="1"/>
    <col min="3625" max="3625" width="18.5703125" style="3" customWidth="1"/>
    <col min="3626" max="3858" width="9.140625" style="3"/>
    <col min="3859" max="3859" width="6.5703125" style="3" bestFit="1" customWidth="1"/>
    <col min="3860" max="3860" width="32.28515625" style="3" bestFit="1" customWidth="1"/>
    <col min="3861" max="3861" width="9.42578125" style="3" bestFit="1" customWidth="1"/>
    <col min="3862" max="3862" width="14.28515625" style="3" bestFit="1" customWidth="1"/>
    <col min="3863" max="3863" width="61.5703125" style="3" customWidth="1"/>
    <col min="3864" max="3864" width="9.85546875" style="3" bestFit="1" customWidth="1"/>
    <col min="3865" max="3866" width="14.85546875" style="3" bestFit="1" customWidth="1"/>
    <col min="3867" max="3879" width="14.85546875" style="3" customWidth="1"/>
    <col min="3880" max="3880" width="18.5703125" style="3" bestFit="1" customWidth="1"/>
    <col min="3881" max="3881" width="18.5703125" style="3" customWidth="1"/>
    <col min="3882" max="4114" width="9.140625" style="3"/>
    <col min="4115" max="4115" width="6.5703125" style="3" bestFit="1" customWidth="1"/>
    <col min="4116" max="4116" width="32.28515625" style="3" bestFit="1" customWidth="1"/>
    <col min="4117" max="4117" width="9.42578125" style="3" bestFit="1" customWidth="1"/>
    <col min="4118" max="4118" width="14.28515625" style="3" bestFit="1" customWidth="1"/>
    <col min="4119" max="4119" width="61.5703125" style="3" customWidth="1"/>
    <col min="4120" max="4120" width="9.85546875" style="3" bestFit="1" customWidth="1"/>
    <col min="4121" max="4122" width="14.85546875" style="3" bestFit="1" customWidth="1"/>
    <col min="4123" max="4135" width="14.85546875" style="3" customWidth="1"/>
    <col min="4136" max="4136" width="18.5703125" style="3" bestFit="1" customWidth="1"/>
    <col min="4137" max="4137" width="18.5703125" style="3" customWidth="1"/>
    <col min="4138" max="4370" width="9.140625" style="3"/>
    <col min="4371" max="4371" width="6.5703125" style="3" bestFit="1" customWidth="1"/>
    <col min="4372" max="4372" width="32.28515625" style="3" bestFit="1" customWidth="1"/>
    <col min="4373" max="4373" width="9.42578125" style="3" bestFit="1" customWidth="1"/>
    <col min="4374" max="4374" width="14.28515625" style="3" bestFit="1" customWidth="1"/>
    <col min="4375" max="4375" width="61.5703125" style="3" customWidth="1"/>
    <col min="4376" max="4376" width="9.85546875" style="3" bestFit="1" customWidth="1"/>
    <col min="4377" max="4378" width="14.85546875" style="3" bestFit="1" customWidth="1"/>
    <col min="4379" max="4391" width="14.85546875" style="3" customWidth="1"/>
    <col min="4392" max="4392" width="18.5703125" style="3" bestFit="1" customWidth="1"/>
    <col min="4393" max="4393" width="18.5703125" style="3" customWidth="1"/>
    <col min="4394" max="4626" width="9.140625" style="3"/>
    <col min="4627" max="4627" width="6.5703125" style="3" bestFit="1" customWidth="1"/>
    <col min="4628" max="4628" width="32.28515625" style="3" bestFit="1" customWidth="1"/>
    <col min="4629" max="4629" width="9.42578125" style="3" bestFit="1" customWidth="1"/>
    <col min="4630" max="4630" width="14.28515625" style="3" bestFit="1" customWidth="1"/>
    <col min="4631" max="4631" width="61.5703125" style="3" customWidth="1"/>
    <col min="4632" max="4632" width="9.85546875" style="3" bestFit="1" customWidth="1"/>
    <col min="4633" max="4634" width="14.85546875" style="3" bestFit="1" customWidth="1"/>
    <col min="4635" max="4647" width="14.85546875" style="3" customWidth="1"/>
    <col min="4648" max="4648" width="18.5703125" style="3" bestFit="1" customWidth="1"/>
    <col min="4649" max="4649" width="18.5703125" style="3" customWidth="1"/>
    <col min="4650" max="4882" width="9.140625" style="3"/>
    <col min="4883" max="4883" width="6.5703125" style="3" bestFit="1" customWidth="1"/>
    <col min="4884" max="4884" width="32.28515625" style="3" bestFit="1" customWidth="1"/>
    <col min="4885" max="4885" width="9.42578125" style="3" bestFit="1" customWidth="1"/>
    <col min="4886" max="4886" width="14.28515625" style="3" bestFit="1" customWidth="1"/>
    <col min="4887" max="4887" width="61.5703125" style="3" customWidth="1"/>
    <col min="4888" max="4888" width="9.85546875" style="3" bestFit="1" customWidth="1"/>
    <col min="4889" max="4890" width="14.85546875" style="3" bestFit="1" customWidth="1"/>
    <col min="4891" max="4903" width="14.85546875" style="3" customWidth="1"/>
    <col min="4904" max="4904" width="18.5703125" style="3" bestFit="1" customWidth="1"/>
    <col min="4905" max="4905" width="18.5703125" style="3" customWidth="1"/>
    <col min="4906" max="5138" width="9.140625" style="3"/>
    <col min="5139" max="5139" width="6.5703125" style="3" bestFit="1" customWidth="1"/>
    <col min="5140" max="5140" width="32.28515625" style="3" bestFit="1" customWidth="1"/>
    <col min="5141" max="5141" width="9.42578125" style="3" bestFit="1" customWidth="1"/>
    <col min="5142" max="5142" width="14.28515625" style="3" bestFit="1" customWidth="1"/>
    <col min="5143" max="5143" width="61.5703125" style="3" customWidth="1"/>
    <col min="5144" max="5144" width="9.85546875" style="3" bestFit="1" customWidth="1"/>
    <col min="5145" max="5146" width="14.85546875" style="3" bestFit="1" customWidth="1"/>
    <col min="5147" max="5159" width="14.85546875" style="3" customWidth="1"/>
    <col min="5160" max="5160" width="18.5703125" style="3" bestFit="1" customWidth="1"/>
    <col min="5161" max="5161" width="18.5703125" style="3" customWidth="1"/>
    <col min="5162" max="5394" width="9.140625" style="3"/>
    <col min="5395" max="5395" width="6.5703125" style="3" bestFit="1" customWidth="1"/>
    <col min="5396" max="5396" width="32.28515625" style="3" bestFit="1" customWidth="1"/>
    <col min="5397" max="5397" width="9.42578125" style="3" bestFit="1" customWidth="1"/>
    <col min="5398" max="5398" width="14.28515625" style="3" bestFit="1" customWidth="1"/>
    <col min="5399" max="5399" width="61.5703125" style="3" customWidth="1"/>
    <col min="5400" max="5400" width="9.85546875" style="3" bestFit="1" customWidth="1"/>
    <col min="5401" max="5402" width="14.85546875" style="3" bestFit="1" customWidth="1"/>
    <col min="5403" max="5415" width="14.85546875" style="3" customWidth="1"/>
    <col min="5416" max="5416" width="18.5703125" style="3" bestFit="1" customWidth="1"/>
    <col min="5417" max="5417" width="18.5703125" style="3" customWidth="1"/>
    <col min="5418" max="5650" width="9.140625" style="3"/>
    <col min="5651" max="5651" width="6.5703125" style="3" bestFit="1" customWidth="1"/>
    <col min="5652" max="5652" width="32.28515625" style="3" bestFit="1" customWidth="1"/>
    <col min="5653" max="5653" width="9.42578125" style="3" bestFit="1" customWidth="1"/>
    <col min="5654" max="5654" width="14.28515625" style="3" bestFit="1" customWidth="1"/>
    <col min="5655" max="5655" width="61.5703125" style="3" customWidth="1"/>
    <col min="5656" max="5656" width="9.85546875" style="3" bestFit="1" customWidth="1"/>
    <col min="5657" max="5658" width="14.85546875" style="3" bestFit="1" customWidth="1"/>
    <col min="5659" max="5671" width="14.85546875" style="3" customWidth="1"/>
    <col min="5672" max="5672" width="18.5703125" style="3" bestFit="1" customWidth="1"/>
    <col min="5673" max="5673" width="18.5703125" style="3" customWidth="1"/>
    <col min="5674" max="5906" width="9.140625" style="3"/>
    <col min="5907" max="5907" width="6.5703125" style="3" bestFit="1" customWidth="1"/>
    <col min="5908" max="5908" width="32.28515625" style="3" bestFit="1" customWidth="1"/>
    <col min="5909" max="5909" width="9.42578125" style="3" bestFit="1" customWidth="1"/>
    <col min="5910" max="5910" width="14.28515625" style="3" bestFit="1" customWidth="1"/>
    <col min="5911" max="5911" width="61.5703125" style="3" customWidth="1"/>
    <col min="5912" max="5912" width="9.85546875" style="3" bestFit="1" customWidth="1"/>
    <col min="5913" max="5914" width="14.85546875" style="3" bestFit="1" customWidth="1"/>
    <col min="5915" max="5927" width="14.85546875" style="3" customWidth="1"/>
    <col min="5928" max="5928" width="18.5703125" style="3" bestFit="1" customWidth="1"/>
    <col min="5929" max="5929" width="18.5703125" style="3" customWidth="1"/>
    <col min="5930" max="6162" width="9.140625" style="3"/>
    <col min="6163" max="6163" width="6.5703125" style="3" bestFit="1" customWidth="1"/>
    <col min="6164" max="6164" width="32.28515625" style="3" bestFit="1" customWidth="1"/>
    <col min="6165" max="6165" width="9.42578125" style="3" bestFit="1" customWidth="1"/>
    <col min="6166" max="6166" width="14.28515625" style="3" bestFit="1" customWidth="1"/>
    <col min="6167" max="6167" width="61.5703125" style="3" customWidth="1"/>
    <col min="6168" max="6168" width="9.85546875" style="3" bestFit="1" customWidth="1"/>
    <col min="6169" max="6170" width="14.85546875" style="3" bestFit="1" customWidth="1"/>
    <col min="6171" max="6183" width="14.85546875" style="3" customWidth="1"/>
    <col min="6184" max="6184" width="18.5703125" style="3" bestFit="1" customWidth="1"/>
    <col min="6185" max="6185" width="18.5703125" style="3" customWidth="1"/>
    <col min="6186" max="6418" width="9.140625" style="3"/>
    <col min="6419" max="6419" width="6.5703125" style="3" bestFit="1" customWidth="1"/>
    <col min="6420" max="6420" width="32.28515625" style="3" bestFit="1" customWidth="1"/>
    <col min="6421" max="6421" width="9.42578125" style="3" bestFit="1" customWidth="1"/>
    <col min="6422" max="6422" width="14.28515625" style="3" bestFit="1" customWidth="1"/>
    <col min="6423" max="6423" width="61.5703125" style="3" customWidth="1"/>
    <col min="6424" max="6424" width="9.85546875" style="3" bestFit="1" customWidth="1"/>
    <col min="6425" max="6426" width="14.85546875" style="3" bestFit="1" customWidth="1"/>
    <col min="6427" max="6439" width="14.85546875" style="3" customWidth="1"/>
    <col min="6440" max="6440" width="18.5703125" style="3" bestFit="1" customWidth="1"/>
    <col min="6441" max="6441" width="18.5703125" style="3" customWidth="1"/>
    <col min="6442" max="6674" width="9.140625" style="3"/>
    <col min="6675" max="6675" width="6.5703125" style="3" bestFit="1" customWidth="1"/>
    <col min="6676" max="6676" width="32.28515625" style="3" bestFit="1" customWidth="1"/>
    <col min="6677" max="6677" width="9.42578125" style="3" bestFit="1" customWidth="1"/>
    <col min="6678" max="6678" width="14.28515625" style="3" bestFit="1" customWidth="1"/>
    <col min="6679" max="6679" width="61.5703125" style="3" customWidth="1"/>
    <col min="6680" max="6680" width="9.85546875" style="3" bestFit="1" customWidth="1"/>
    <col min="6681" max="6682" width="14.85546875" style="3" bestFit="1" customWidth="1"/>
    <col min="6683" max="6695" width="14.85546875" style="3" customWidth="1"/>
    <col min="6696" max="6696" width="18.5703125" style="3" bestFit="1" customWidth="1"/>
    <col min="6697" max="6697" width="18.5703125" style="3" customWidth="1"/>
    <col min="6698" max="6930" width="9.140625" style="3"/>
    <col min="6931" max="6931" width="6.5703125" style="3" bestFit="1" customWidth="1"/>
    <col min="6932" max="6932" width="32.28515625" style="3" bestFit="1" customWidth="1"/>
    <col min="6933" max="6933" width="9.42578125" style="3" bestFit="1" customWidth="1"/>
    <col min="6934" max="6934" width="14.28515625" style="3" bestFit="1" customWidth="1"/>
    <col min="6935" max="6935" width="61.5703125" style="3" customWidth="1"/>
    <col min="6936" max="6936" width="9.85546875" style="3" bestFit="1" customWidth="1"/>
    <col min="6937" max="6938" width="14.85546875" style="3" bestFit="1" customWidth="1"/>
    <col min="6939" max="6951" width="14.85546875" style="3" customWidth="1"/>
    <col min="6952" max="6952" width="18.5703125" style="3" bestFit="1" customWidth="1"/>
    <col min="6953" max="6953" width="18.5703125" style="3" customWidth="1"/>
    <col min="6954" max="7186" width="9.140625" style="3"/>
    <col min="7187" max="7187" width="6.5703125" style="3" bestFit="1" customWidth="1"/>
    <col min="7188" max="7188" width="32.28515625" style="3" bestFit="1" customWidth="1"/>
    <col min="7189" max="7189" width="9.42578125" style="3" bestFit="1" customWidth="1"/>
    <col min="7190" max="7190" width="14.28515625" style="3" bestFit="1" customWidth="1"/>
    <col min="7191" max="7191" width="61.5703125" style="3" customWidth="1"/>
    <col min="7192" max="7192" width="9.85546875" style="3" bestFit="1" customWidth="1"/>
    <col min="7193" max="7194" width="14.85546875" style="3" bestFit="1" customWidth="1"/>
    <col min="7195" max="7207" width="14.85546875" style="3" customWidth="1"/>
    <col min="7208" max="7208" width="18.5703125" style="3" bestFit="1" customWidth="1"/>
    <col min="7209" max="7209" width="18.5703125" style="3" customWidth="1"/>
    <col min="7210" max="7442" width="9.140625" style="3"/>
    <col min="7443" max="7443" width="6.5703125" style="3" bestFit="1" customWidth="1"/>
    <col min="7444" max="7444" width="32.28515625" style="3" bestFit="1" customWidth="1"/>
    <col min="7445" max="7445" width="9.42578125" style="3" bestFit="1" customWidth="1"/>
    <col min="7446" max="7446" width="14.28515625" style="3" bestFit="1" customWidth="1"/>
    <col min="7447" max="7447" width="61.5703125" style="3" customWidth="1"/>
    <col min="7448" max="7448" width="9.85546875" style="3" bestFit="1" customWidth="1"/>
    <col min="7449" max="7450" width="14.85546875" style="3" bestFit="1" customWidth="1"/>
    <col min="7451" max="7463" width="14.85546875" style="3" customWidth="1"/>
    <col min="7464" max="7464" width="18.5703125" style="3" bestFit="1" customWidth="1"/>
    <col min="7465" max="7465" width="18.5703125" style="3" customWidth="1"/>
    <col min="7466" max="7698" width="9.140625" style="3"/>
    <col min="7699" max="7699" width="6.5703125" style="3" bestFit="1" customWidth="1"/>
    <col min="7700" max="7700" width="32.28515625" style="3" bestFit="1" customWidth="1"/>
    <col min="7701" max="7701" width="9.42578125" style="3" bestFit="1" customWidth="1"/>
    <col min="7702" max="7702" width="14.28515625" style="3" bestFit="1" customWidth="1"/>
    <col min="7703" max="7703" width="61.5703125" style="3" customWidth="1"/>
    <col min="7704" max="7704" width="9.85546875" style="3" bestFit="1" customWidth="1"/>
    <col min="7705" max="7706" width="14.85546875" style="3" bestFit="1" customWidth="1"/>
    <col min="7707" max="7719" width="14.85546875" style="3" customWidth="1"/>
    <col min="7720" max="7720" width="18.5703125" style="3" bestFit="1" customWidth="1"/>
    <col min="7721" max="7721" width="18.5703125" style="3" customWidth="1"/>
    <col min="7722" max="7954" width="9.140625" style="3"/>
    <col min="7955" max="7955" width="6.5703125" style="3" bestFit="1" customWidth="1"/>
    <col min="7956" max="7956" width="32.28515625" style="3" bestFit="1" customWidth="1"/>
    <col min="7957" max="7957" width="9.42578125" style="3" bestFit="1" customWidth="1"/>
    <col min="7958" max="7958" width="14.28515625" style="3" bestFit="1" customWidth="1"/>
    <col min="7959" max="7959" width="61.5703125" style="3" customWidth="1"/>
    <col min="7960" max="7960" width="9.85546875" style="3" bestFit="1" customWidth="1"/>
    <col min="7961" max="7962" width="14.85546875" style="3" bestFit="1" customWidth="1"/>
    <col min="7963" max="7975" width="14.85546875" style="3" customWidth="1"/>
    <col min="7976" max="7976" width="18.5703125" style="3" bestFit="1" customWidth="1"/>
    <col min="7977" max="7977" width="18.5703125" style="3" customWidth="1"/>
    <col min="7978" max="8210" width="9.140625" style="3"/>
    <col min="8211" max="8211" width="6.5703125" style="3" bestFit="1" customWidth="1"/>
    <col min="8212" max="8212" width="32.28515625" style="3" bestFit="1" customWidth="1"/>
    <col min="8213" max="8213" width="9.42578125" style="3" bestFit="1" customWidth="1"/>
    <col min="8214" max="8214" width="14.28515625" style="3" bestFit="1" customWidth="1"/>
    <col min="8215" max="8215" width="61.5703125" style="3" customWidth="1"/>
    <col min="8216" max="8216" width="9.85546875" style="3" bestFit="1" customWidth="1"/>
    <col min="8217" max="8218" width="14.85546875" style="3" bestFit="1" customWidth="1"/>
    <col min="8219" max="8231" width="14.85546875" style="3" customWidth="1"/>
    <col min="8232" max="8232" width="18.5703125" style="3" bestFit="1" customWidth="1"/>
    <col min="8233" max="8233" width="18.5703125" style="3" customWidth="1"/>
    <col min="8234" max="8466" width="9.140625" style="3"/>
    <col min="8467" max="8467" width="6.5703125" style="3" bestFit="1" customWidth="1"/>
    <col min="8468" max="8468" width="32.28515625" style="3" bestFit="1" customWidth="1"/>
    <col min="8469" max="8469" width="9.42578125" style="3" bestFit="1" customWidth="1"/>
    <col min="8470" max="8470" width="14.28515625" style="3" bestFit="1" customWidth="1"/>
    <col min="8471" max="8471" width="61.5703125" style="3" customWidth="1"/>
    <col min="8472" max="8472" width="9.85546875" style="3" bestFit="1" customWidth="1"/>
    <col min="8473" max="8474" width="14.85546875" style="3" bestFit="1" customWidth="1"/>
    <col min="8475" max="8487" width="14.85546875" style="3" customWidth="1"/>
    <col min="8488" max="8488" width="18.5703125" style="3" bestFit="1" customWidth="1"/>
    <col min="8489" max="8489" width="18.5703125" style="3" customWidth="1"/>
    <col min="8490" max="8722" width="9.140625" style="3"/>
    <col min="8723" max="8723" width="6.5703125" style="3" bestFit="1" customWidth="1"/>
    <col min="8724" max="8724" width="32.28515625" style="3" bestFit="1" customWidth="1"/>
    <col min="8725" max="8725" width="9.42578125" style="3" bestFit="1" customWidth="1"/>
    <col min="8726" max="8726" width="14.28515625" style="3" bestFit="1" customWidth="1"/>
    <col min="8727" max="8727" width="61.5703125" style="3" customWidth="1"/>
    <col min="8728" max="8728" width="9.85546875" style="3" bestFit="1" customWidth="1"/>
    <col min="8729" max="8730" width="14.85546875" style="3" bestFit="1" customWidth="1"/>
    <col min="8731" max="8743" width="14.85546875" style="3" customWidth="1"/>
    <col min="8744" max="8744" width="18.5703125" style="3" bestFit="1" customWidth="1"/>
    <col min="8745" max="8745" width="18.5703125" style="3" customWidth="1"/>
    <col min="8746" max="8978" width="9.140625" style="3"/>
    <col min="8979" max="8979" width="6.5703125" style="3" bestFit="1" customWidth="1"/>
    <col min="8980" max="8980" width="32.28515625" style="3" bestFit="1" customWidth="1"/>
    <col min="8981" max="8981" width="9.42578125" style="3" bestFit="1" customWidth="1"/>
    <col min="8982" max="8982" width="14.28515625" style="3" bestFit="1" customWidth="1"/>
    <col min="8983" max="8983" width="61.5703125" style="3" customWidth="1"/>
    <col min="8984" max="8984" width="9.85546875" style="3" bestFit="1" customWidth="1"/>
    <col min="8985" max="8986" width="14.85546875" style="3" bestFit="1" customWidth="1"/>
    <col min="8987" max="8999" width="14.85546875" style="3" customWidth="1"/>
    <col min="9000" max="9000" width="18.5703125" style="3" bestFit="1" customWidth="1"/>
    <col min="9001" max="9001" width="18.5703125" style="3" customWidth="1"/>
    <col min="9002" max="9234" width="9.140625" style="3"/>
    <col min="9235" max="9235" width="6.5703125" style="3" bestFit="1" customWidth="1"/>
    <col min="9236" max="9236" width="32.28515625" style="3" bestFit="1" customWidth="1"/>
    <col min="9237" max="9237" width="9.42578125" style="3" bestFit="1" customWidth="1"/>
    <col min="9238" max="9238" width="14.28515625" style="3" bestFit="1" customWidth="1"/>
    <col min="9239" max="9239" width="61.5703125" style="3" customWidth="1"/>
    <col min="9240" max="9240" width="9.85546875" style="3" bestFit="1" customWidth="1"/>
    <col min="9241" max="9242" width="14.85546875" style="3" bestFit="1" customWidth="1"/>
    <col min="9243" max="9255" width="14.85546875" style="3" customWidth="1"/>
    <col min="9256" max="9256" width="18.5703125" style="3" bestFit="1" customWidth="1"/>
    <col min="9257" max="9257" width="18.5703125" style="3" customWidth="1"/>
    <col min="9258" max="9490" width="9.140625" style="3"/>
    <col min="9491" max="9491" width="6.5703125" style="3" bestFit="1" customWidth="1"/>
    <col min="9492" max="9492" width="32.28515625" style="3" bestFit="1" customWidth="1"/>
    <col min="9493" max="9493" width="9.42578125" style="3" bestFit="1" customWidth="1"/>
    <col min="9494" max="9494" width="14.28515625" style="3" bestFit="1" customWidth="1"/>
    <col min="9495" max="9495" width="61.5703125" style="3" customWidth="1"/>
    <col min="9496" max="9496" width="9.85546875" style="3" bestFit="1" customWidth="1"/>
    <col min="9497" max="9498" width="14.85546875" style="3" bestFit="1" customWidth="1"/>
    <col min="9499" max="9511" width="14.85546875" style="3" customWidth="1"/>
    <col min="9512" max="9512" width="18.5703125" style="3" bestFit="1" customWidth="1"/>
    <col min="9513" max="9513" width="18.5703125" style="3" customWidth="1"/>
    <col min="9514" max="9746" width="9.140625" style="3"/>
    <col min="9747" max="9747" width="6.5703125" style="3" bestFit="1" customWidth="1"/>
    <col min="9748" max="9748" width="32.28515625" style="3" bestFit="1" customWidth="1"/>
    <col min="9749" max="9749" width="9.42578125" style="3" bestFit="1" customWidth="1"/>
    <col min="9750" max="9750" width="14.28515625" style="3" bestFit="1" customWidth="1"/>
    <col min="9751" max="9751" width="61.5703125" style="3" customWidth="1"/>
    <col min="9752" max="9752" width="9.85546875" style="3" bestFit="1" customWidth="1"/>
    <col min="9753" max="9754" width="14.85546875" style="3" bestFit="1" customWidth="1"/>
    <col min="9755" max="9767" width="14.85546875" style="3" customWidth="1"/>
    <col min="9768" max="9768" width="18.5703125" style="3" bestFit="1" customWidth="1"/>
    <col min="9769" max="9769" width="18.5703125" style="3" customWidth="1"/>
    <col min="9770" max="10002" width="9.140625" style="3"/>
    <col min="10003" max="10003" width="6.5703125" style="3" bestFit="1" customWidth="1"/>
    <col min="10004" max="10004" width="32.28515625" style="3" bestFit="1" customWidth="1"/>
    <col min="10005" max="10005" width="9.42578125" style="3" bestFit="1" customWidth="1"/>
    <col min="10006" max="10006" width="14.28515625" style="3" bestFit="1" customWidth="1"/>
    <col min="10007" max="10007" width="61.5703125" style="3" customWidth="1"/>
    <col min="10008" max="10008" width="9.85546875" style="3" bestFit="1" customWidth="1"/>
    <col min="10009" max="10010" width="14.85546875" style="3" bestFit="1" customWidth="1"/>
    <col min="10011" max="10023" width="14.85546875" style="3" customWidth="1"/>
    <col min="10024" max="10024" width="18.5703125" style="3" bestFit="1" customWidth="1"/>
    <col min="10025" max="10025" width="18.5703125" style="3" customWidth="1"/>
    <col min="10026" max="10258" width="9.140625" style="3"/>
    <col min="10259" max="10259" width="6.5703125" style="3" bestFit="1" customWidth="1"/>
    <col min="10260" max="10260" width="32.28515625" style="3" bestFit="1" customWidth="1"/>
    <col min="10261" max="10261" width="9.42578125" style="3" bestFit="1" customWidth="1"/>
    <col min="10262" max="10262" width="14.28515625" style="3" bestFit="1" customWidth="1"/>
    <col min="10263" max="10263" width="61.5703125" style="3" customWidth="1"/>
    <col min="10264" max="10264" width="9.85546875" style="3" bestFit="1" customWidth="1"/>
    <col min="10265" max="10266" width="14.85546875" style="3" bestFit="1" customWidth="1"/>
    <col min="10267" max="10279" width="14.85546875" style="3" customWidth="1"/>
    <col min="10280" max="10280" width="18.5703125" style="3" bestFit="1" customWidth="1"/>
    <col min="10281" max="10281" width="18.5703125" style="3" customWidth="1"/>
    <col min="10282" max="10514" width="9.140625" style="3"/>
    <col min="10515" max="10515" width="6.5703125" style="3" bestFit="1" customWidth="1"/>
    <col min="10516" max="10516" width="32.28515625" style="3" bestFit="1" customWidth="1"/>
    <col min="10517" max="10517" width="9.42578125" style="3" bestFit="1" customWidth="1"/>
    <col min="10518" max="10518" width="14.28515625" style="3" bestFit="1" customWidth="1"/>
    <col min="10519" max="10519" width="61.5703125" style="3" customWidth="1"/>
    <col min="10520" max="10520" width="9.85546875" style="3" bestFit="1" customWidth="1"/>
    <col min="10521" max="10522" width="14.85546875" style="3" bestFit="1" customWidth="1"/>
    <col min="10523" max="10535" width="14.85546875" style="3" customWidth="1"/>
    <col min="10536" max="10536" width="18.5703125" style="3" bestFit="1" customWidth="1"/>
    <col min="10537" max="10537" width="18.5703125" style="3" customWidth="1"/>
    <col min="10538" max="10770" width="9.140625" style="3"/>
    <col min="10771" max="10771" width="6.5703125" style="3" bestFit="1" customWidth="1"/>
    <col min="10772" max="10772" width="32.28515625" style="3" bestFit="1" customWidth="1"/>
    <col min="10773" max="10773" width="9.42578125" style="3" bestFit="1" customWidth="1"/>
    <col min="10774" max="10774" width="14.28515625" style="3" bestFit="1" customWidth="1"/>
    <col min="10775" max="10775" width="61.5703125" style="3" customWidth="1"/>
    <col min="10776" max="10776" width="9.85546875" style="3" bestFit="1" customWidth="1"/>
    <col min="10777" max="10778" width="14.85546875" style="3" bestFit="1" customWidth="1"/>
    <col min="10779" max="10791" width="14.85546875" style="3" customWidth="1"/>
    <col min="10792" max="10792" width="18.5703125" style="3" bestFit="1" customWidth="1"/>
    <col min="10793" max="10793" width="18.5703125" style="3" customWidth="1"/>
    <col min="10794" max="11026" width="9.140625" style="3"/>
    <col min="11027" max="11027" width="6.5703125" style="3" bestFit="1" customWidth="1"/>
    <col min="11028" max="11028" width="32.28515625" style="3" bestFit="1" customWidth="1"/>
    <col min="11029" max="11029" width="9.42578125" style="3" bestFit="1" customWidth="1"/>
    <col min="11030" max="11030" width="14.28515625" style="3" bestFit="1" customWidth="1"/>
    <col min="11031" max="11031" width="61.5703125" style="3" customWidth="1"/>
    <col min="11032" max="11032" width="9.85546875" style="3" bestFit="1" customWidth="1"/>
    <col min="11033" max="11034" width="14.85546875" style="3" bestFit="1" customWidth="1"/>
    <col min="11035" max="11047" width="14.85546875" style="3" customWidth="1"/>
    <col min="11048" max="11048" width="18.5703125" style="3" bestFit="1" customWidth="1"/>
    <col min="11049" max="11049" width="18.5703125" style="3" customWidth="1"/>
    <col min="11050" max="11282" width="9.140625" style="3"/>
    <col min="11283" max="11283" width="6.5703125" style="3" bestFit="1" customWidth="1"/>
    <col min="11284" max="11284" width="32.28515625" style="3" bestFit="1" customWidth="1"/>
    <col min="11285" max="11285" width="9.42578125" style="3" bestFit="1" customWidth="1"/>
    <col min="11286" max="11286" width="14.28515625" style="3" bestFit="1" customWidth="1"/>
    <col min="11287" max="11287" width="61.5703125" style="3" customWidth="1"/>
    <col min="11288" max="11288" width="9.85546875" style="3" bestFit="1" customWidth="1"/>
    <col min="11289" max="11290" width="14.85546875" style="3" bestFit="1" customWidth="1"/>
    <col min="11291" max="11303" width="14.85546875" style="3" customWidth="1"/>
    <col min="11304" max="11304" width="18.5703125" style="3" bestFit="1" customWidth="1"/>
    <col min="11305" max="11305" width="18.5703125" style="3" customWidth="1"/>
    <col min="11306" max="11538" width="9.140625" style="3"/>
    <col min="11539" max="11539" width="6.5703125" style="3" bestFit="1" customWidth="1"/>
    <col min="11540" max="11540" width="32.28515625" style="3" bestFit="1" customWidth="1"/>
    <col min="11541" max="11541" width="9.42578125" style="3" bestFit="1" customWidth="1"/>
    <col min="11542" max="11542" width="14.28515625" style="3" bestFit="1" customWidth="1"/>
    <col min="11543" max="11543" width="61.5703125" style="3" customWidth="1"/>
    <col min="11544" max="11544" width="9.85546875" style="3" bestFit="1" customWidth="1"/>
    <col min="11545" max="11546" width="14.85546875" style="3" bestFit="1" customWidth="1"/>
    <col min="11547" max="11559" width="14.85546875" style="3" customWidth="1"/>
    <col min="11560" max="11560" width="18.5703125" style="3" bestFit="1" customWidth="1"/>
    <col min="11561" max="11561" width="18.5703125" style="3" customWidth="1"/>
    <col min="11562" max="11794" width="9.140625" style="3"/>
    <col min="11795" max="11795" width="6.5703125" style="3" bestFit="1" customWidth="1"/>
    <col min="11796" max="11796" width="32.28515625" style="3" bestFit="1" customWidth="1"/>
    <col min="11797" max="11797" width="9.42578125" style="3" bestFit="1" customWidth="1"/>
    <col min="11798" max="11798" width="14.28515625" style="3" bestFit="1" customWidth="1"/>
    <col min="11799" max="11799" width="61.5703125" style="3" customWidth="1"/>
    <col min="11800" max="11800" width="9.85546875" style="3" bestFit="1" customWidth="1"/>
    <col min="11801" max="11802" width="14.85546875" style="3" bestFit="1" customWidth="1"/>
    <col min="11803" max="11815" width="14.85546875" style="3" customWidth="1"/>
    <col min="11816" max="11816" width="18.5703125" style="3" bestFit="1" customWidth="1"/>
    <col min="11817" max="11817" width="18.5703125" style="3" customWidth="1"/>
    <col min="11818" max="12050" width="9.140625" style="3"/>
    <col min="12051" max="12051" width="6.5703125" style="3" bestFit="1" customWidth="1"/>
    <col min="12052" max="12052" width="32.28515625" style="3" bestFit="1" customWidth="1"/>
    <col min="12053" max="12053" width="9.42578125" style="3" bestFit="1" customWidth="1"/>
    <col min="12054" max="12054" width="14.28515625" style="3" bestFit="1" customWidth="1"/>
    <col min="12055" max="12055" width="61.5703125" style="3" customWidth="1"/>
    <col min="12056" max="12056" width="9.85546875" style="3" bestFit="1" customWidth="1"/>
    <col min="12057" max="12058" width="14.85546875" style="3" bestFit="1" customWidth="1"/>
    <col min="12059" max="12071" width="14.85546875" style="3" customWidth="1"/>
    <col min="12072" max="12072" width="18.5703125" style="3" bestFit="1" customWidth="1"/>
    <col min="12073" max="12073" width="18.5703125" style="3" customWidth="1"/>
    <col min="12074" max="12306" width="9.140625" style="3"/>
    <col min="12307" max="12307" width="6.5703125" style="3" bestFit="1" customWidth="1"/>
    <col min="12308" max="12308" width="32.28515625" style="3" bestFit="1" customWidth="1"/>
    <col min="12309" max="12309" width="9.42578125" style="3" bestFit="1" customWidth="1"/>
    <col min="12310" max="12310" width="14.28515625" style="3" bestFit="1" customWidth="1"/>
    <col min="12311" max="12311" width="61.5703125" style="3" customWidth="1"/>
    <col min="12312" max="12312" width="9.85546875" style="3" bestFit="1" customWidth="1"/>
    <col min="12313" max="12314" width="14.85546875" style="3" bestFit="1" customWidth="1"/>
    <col min="12315" max="12327" width="14.85546875" style="3" customWidth="1"/>
    <col min="12328" max="12328" width="18.5703125" style="3" bestFit="1" customWidth="1"/>
    <col min="12329" max="12329" width="18.5703125" style="3" customWidth="1"/>
    <col min="12330" max="12562" width="9.140625" style="3"/>
    <col min="12563" max="12563" width="6.5703125" style="3" bestFit="1" customWidth="1"/>
    <col min="12564" max="12564" width="32.28515625" style="3" bestFit="1" customWidth="1"/>
    <col min="12565" max="12565" width="9.42578125" style="3" bestFit="1" customWidth="1"/>
    <col min="12566" max="12566" width="14.28515625" style="3" bestFit="1" customWidth="1"/>
    <col min="12567" max="12567" width="61.5703125" style="3" customWidth="1"/>
    <col min="12568" max="12568" width="9.85546875" style="3" bestFit="1" customWidth="1"/>
    <col min="12569" max="12570" width="14.85546875" style="3" bestFit="1" customWidth="1"/>
    <col min="12571" max="12583" width="14.85546875" style="3" customWidth="1"/>
    <col min="12584" max="12584" width="18.5703125" style="3" bestFit="1" customWidth="1"/>
    <col min="12585" max="12585" width="18.5703125" style="3" customWidth="1"/>
    <col min="12586" max="12818" width="9.140625" style="3"/>
    <col min="12819" max="12819" width="6.5703125" style="3" bestFit="1" customWidth="1"/>
    <col min="12820" max="12820" width="32.28515625" style="3" bestFit="1" customWidth="1"/>
    <col min="12821" max="12821" width="9.42578125" style="3" bestFit="1" customWidth="1"/>
    <col min="12822" max="12822" width="14.28515625" style="3" bestFit="1" customWidth="1"/>
    <col min="12823" max="12823" width="61.5703125" style="3" customWidth="1"/>
    <col min="12824" max="12824" width="9.85546875" style="3" bestFit="1" customWidth="1"/>
    <col min="12825" max="12826" width="14.85546875" style="3" bestFit="1" customWidth="1"/>
    <col min="12827" max="12839" width="14.85546875" style="3" customWidth="1"/>
    <col min="12840" max="12840" width="18.5703125" style="3" bestFit="1" customWidth="1"/>
    <col min="12841" max="12841" width="18.5703125" style="3" customWidth="1"/>
    <col min="12842" max="13074" width="9.140625" style="3"/>
    <col min="13075" max="13075" width="6.5703125" style="3" bestFit="1" customWidth="1"/>
    <col min="13076" max="13076" width="32.28515625" style="3" bestFit="1" customWidth="1"/>
    <col min="13077" max="13077" width="9.42578125" style="3" bestFit="1" customWidth="1"/>
    <col min="13078" max="13078" width="14.28515625" style="3" bestFit="1" customWidth="1"/>
    <col min="13079" max="13079" width="61.5703125" style="3" customWidth="1"/>
    <col min="13080" max="13080" width="9.85546875" style="3" bestFit="1" customWidth="1"/>
    <col min="13081" max="13082" width="14.85546875" style="3" bestFit="1" customWidth="1"/>
    <col min="13083" max="13095" width="14.85546875" style="3" customWidth="1"/>
    <col min="13096" max="13096" width="18.5703125" style="3" bestFit="1" customWidth="1"/>
    <col min="13097" max="13097" width="18.5703125" style="3" customWidth="1"/>
    <col min="13098" max="13330" width="9.140625" style="3"/>
    <col min="13331" max="13331" width="6.5703125" style="3" bestFit="1" customWidth="1"/>
    <col min="13332" max="13332" width="32.28515625" style="3" bestFit="1" customWidth="1"/>
    <col min="13333" max="13333" width="9.42578125" style="3" bestFit="1" customWidth="1"/>
    <col min="13334" max="13334" width="14.28515625" style="3" bestFit="1" customWidth="1"/>
    <col min="13335" max="13335" width="61.5703125" style="3" customWidth="1"/>
    <col min="13336" max="13336" width="9.85546875" style="3" bestFit="1" customWidth="1"/>
    <col min="13337" max="13338" width="14.85546875" style="3" bestFit="1" customWidth="1"/>
    <col min="13339" max="13351" width="14.85546875" style="3" customWidth="1"/>
    <col min="13352" max="13352" width="18.5703125" style="3" bestFit="1" customWidth="1"/>
    <col min="13353" max="13353" width="18.5703125" style="3" customWidth="1"/>
    <col min="13354" max="13586" width="9.140625" style="3"/>
    <col min="13587" max="13587" width="6.5703125" style="3" bestFit="1" customWidth="1"/>
    <col min="13588" max="13588" width="32.28515625" style="3" bestFit="1" customWidth="1"/>
    <col min="13589" max="13589" width="9.42578125" style="3" bestFit="1" customWidth="1"/>
    <col min="13590" max="13590" width="14.28515625" style="3" bestFit="1" customWidth="1"/>
    <col min="13591" max="13591" width="61.5703125" style="3" customWidth="1"/>
    <col min="13592" max="13592" width="9.85546875" style="3" bestFit="1" customWidth="1"/>
    <col min="13593" max="13594" width="14.85546875" style="3" bestFit="1" customWidth="1"/>
    <col min="13595" max="13607" width="14.85546875" style="3" customWidth="1"/>
    <col min="13608" max="13608" width="18.5703125" style="3" bestFit="1" customWidth="1"/>
    <col min="13609" max="13609" width="18.5703125" style="3" customWidth="1"/>
    <col min="13610" max="13842" width="9.140625" style="3"/>
    <col min="13843" max="13843" width="6.5703125" style="3" bestFit="1" customWidth="1"/>
    <col min="13844" max="13844" width="32.28515625" style="3" bestFit="1" customWidth="1"/>
    <col min="13845" max="13845" width="9.42578125" style="3" bestFit="1" customWidth="1"/>
    <col min="13846" max="13846" width="14.28515625" style="3" bestFit="1" customWidth="1"/>
    <col min="13847" max="13847" width="61.5703125" style="3" customWidth="1"/>
    <col min="13848" max="13848" width="9.85546875" style="3" bestFit="1" customWidth="1"/>
    <col min="13849" max="13850" width="14.85546875" style="3" bestFit="1" customWidth="1"/>
    <col min="13851" max="13863" width="14.85546875" style="3" customWidth="1"/>
    <col min="13864" max="13864" width="18.5703125" style="3" bestFit="1" customWidth="1"/>
    <col min="13865" max="13865" width="18.5703125" style="3" customWidth="1"/>
    <col min="13866" max="14098" width="9.140625" style="3"/>
    <col min="14099" max="14099" width="6.5703125" style="3" bestFit="1" customWidth="1"/>
    <col min="14100" max="14100" width="32.28515625" style="3" bestFit="1" customWidth="1"/>
    <col min="14101" max="14101" width="9.42578125" style="3" bestFit="1" customWidth="1"/>
    <col min="14102" max="14102" width="14.28515625" style="3" bestFit="1" customWidth="1"/>
    <col min="14103" max="14103" width="61.5703125" style="3" customWidth="1"/>
    <col min="14104" max="14104" width="9.85546875" style="3" bestFit="1" customWidth="1"/>
    <col min="14105" max="14106" width="14.85546875" style="3" bestFit="1" customWidth="1"/>
    <col min="14107" max="14119" width="14.85546875" style="3" customWidth="1"/>
    <col min="14120" max="14120" width="18.5703125" style="3" bestFit="1" customWidth="1"/>
    <col min="14121" max="14121" width="18.5703125" style="3" customWidth="1"/>
    <col min="14122" max="14354" width="9.140625" style="3"/>
    <col min="14355" max="14355" width="6.5703125" style="3" bestFit="1" customWidth="1"/>
    <col min="14356" max="14356" width="32.28515625" style="3" bestFit="1" customWidth="1"/>
    <col min="14357" max="14357" width="9.42578125" style="3" bestFit="1" customWidth="1"/>
    <col min="14358" max="14358" width="14.28515625" style="3" bestFit="1" customWidth="1"/>
    <col min="14359" max="14359" width="61.5703125" style="3" customWidth="1"/>
    <col min="14360" max="14360" width="9.85546875" style="3" bestFit="1" customWidth="1"/>
    <col min="14361" max="14362" width="14.85546875" style="3" bestFit="1" customWidth="1"/>
    <col min="14363" max="14375" width="14.85546875" style="3" customWidth="1"/>
    <col min="14376" max="14376" width="18.5703125" style="3" bestFit="1" customWidth="1"/>
    <col min="14377" max="14377" width="18.5703125" style="3" customWidth="1"/>
    <col min="14378" max="14610" width="9.140625" style="3"/>
    <col min="14611" max="14611" width="6.5703125" style="3" bestFit="1" customWidth="1"/>
    <col min="14612" max="14612" width="32.28515625" style="3" bestFit="1" customWidth="1"/>
    <col min="14613" max="14613" width="9.42578125" style="3" bestFit="1" customWidth="1"/>
    <col min="14614" max="14614" width="14.28515625" style="3" bestFit="1" customWidth="1"/>
    <col min="14615" max="14615" width="61.5703125" style="3" customWidth="1"/>
    <col min="14616" max="14616" width="9.85546875" style="3" bestFit="1" customWidth="1"/>
    <col min="14617" max="14618" width="14.85546875" style="3" bestFit="1" customWidth="1"/>
    <col min="14619" max="14631" width="14.85546875" style="3" customWidth="1"/>
    <col min="14632" max="14632" width="18.5703125" style="3" bestFit="1" customWidth="1"/>
    <col min="14633" max="14633" width="18.5703125" style="3" customWidth="1"/>
    <col min="14634" max="14866" width="9.140625" style="3"/>
    <col min="14867" max="14867" width="6.5703125" style="3" bestFit="1" customWidth="1"/>
    <col min="14868" max="14868" width="32.28515625" style="3" bestFit="1" customWidth="1"/>
    <col min="14869" max="14869" width="9.42578125" style="3" bestFit="1" customWidth="1"/>
    <col min="14870" max="14870" width="14.28515625" style="3" bestFit="1" customWidth="1"/>
    <col min="14871" max="14871" width="61.5703125" style="3" customWidth="1"/>
    <col min="14872" max="14872" width="9.85546875" style="3" bestFit="1" customWidth="1"/>
    <col min="14873" max="14874" width="14.85546875" style="3" bestFit="1" customWidth="1"/>
    <col min="14875" max="14887" width="14.85546875" style="3" customWidth="1"/>
    <col min="14888" max="14888" width="18.5703125" style="3" bestFit="1" customWidth="1"/>
    <col min="14889" max="14889" width="18.5703125" style="3" customWidth="1"/>
    <col min="14890" max="15122" width="9.140625" style="3"/>
    <col min="15123" max="15123" width="6.5703125" style="3" bestFit="1" customWidth="1"/>
    <col min="15124" max="15124" width="32.28515625" style="3" bestFit="1" customWidth="1"/>
    <col min="15125" max="15125" width="9.42578125" style="3" bestFit="1" customWidth="1"/>
    <col min="15126" max="15126" width="14.28515625" style="3" bestFit="1" customWidth="1"/>
    <col min="15127" max="15127" width="61.5703125" style="3" customWidth="1"/>
    <col min="15128" max="15128" width="9.85546875" style="3" bestFit="1" customWidth="1"/>
    <col min="15129" max="15130" width="14.85546875" style="3" bestFit="1" customWidth="1"/>
    <col min="15131" max="15143" width="14.85546875" style="3" customWidth="1"/>
    <col min="15144" max="15144" width="18.5703125" style="3" bestFit="1" customWidth="1"/>
    <col min="15145" max="15145" width="18.5703125" style="3" customWidth="1"/>
    <col min="15146" max="15378" width="9.140625" style="3"/>
    <col min="15379" max="15379" width="6.5703125" style="3" bestFit="1" customWidth="1"/>
    <col min="15380" max="15380" width="32.28515625" style="3" bestFit="1" customWidth="1"/>
    <col min="15381" max="15381" width="9.42578125" style="3" bestFit="1" customWidth="1"/>
    <col min="15382" max="15382" width="14.28515625" style="3" bestFit="1" customWidth="1"/>
    <col min="15383" max="15383" width="61.5703125" style="3" customWidth="1"/>
    <col min="15384" max="15384" width="9.85546875" style="3" bestFit="1" customWidth="1"/>
    <col min="15385" max="15386" width="14.85546875" style="3" bestFit="1" customWidth="1"/>
    <col min="15387" max="15399" width="14.85546875" style="3" customWidth="1"/>
    <col min="15400" max="15400" width="18.5703125" style="3" bestFit="1" customWidth="1"/>
    <col min="15401" max="15401" width="18.5703125" style="3" customWidth="1"/>
    <col min="15402" max="15634" width="9.140625" style="3"/>
    <col min="15635" max="15635" width="6.5703125" style="3" bestFit="1" customWidth="1"/>
    <col min="15636" max="15636" width="32.28515625" style="3" bestFit="1" customWidth="1"/>
    <col min="15637" max="15637" width="9.42578125" style="3" bestFit="1" customWidth="1"/>
    <col min="15638" max="15638" width="14.28515625" style="3" bestFit="1" customWidth="1"/>
    <col min="15639" max="15639" width="61.5703125" style="3" customWidth="1"/>
    <col min="15640" max="15640" width="9.85546875" style="3" bestFit="1" customWidth="1"/>
    <col min="15641" max="15642" width="14.85546875" style="3" bestFit="1" customWidth="1"/>
    <col min="15643" max="15655" width="14.85546875" style="3" customWidth="1"/>
    <col min="15656" max="15656" width="18.5703125" style="3" bestFit="1" customWidth="1"/>
    <col min="15657" max="15657" width="18.5703125" style="3" customWidth="1"/>
    <col min="15658" max="15890" width="9.140625" style="3"/>
    <col min="15891" max="15891" width="6.5703125" style="3" bestFit="1" customWidth="1"/>
    <col min="15892" max="15892" width="32.28515625" style="3" bestFit="1" customWidth="1"/>
    <col min="15893" max="15893" width="9.42578125" style="3" bestFit="1" customWidth="1"/>
    <col min="15894" max="15894" width="14.28515625" style="3" bestFit="1" customWidth="1"/>
    <col min="15895" max="15895" width="61.5703125" style="3" customWidth="1"/>
    <col min="15896" max="15896" width="9.85546875" style="3" bestFit="1" customWidth="1"/>
    <col min="15897" max="15898" width="14.85546875" style="3" bestFit="1" customWidth="1"/>
    <col min="15899" max="15911" width="14.85546875" style="3" customWidth="1"/>
    <col min="15912" max="15912" width="18.5703125" style="3" bestFit="1" customWidth="1"/>
    <col min="15913" max="15913" width="18.5703125" style="3" customWidth="1"/>
    <col min="15914" max="16146" width="9.140625" style="3"/>
    <col min="16147" max="16147" width="6.5703125" style="3" bestFit="1" customWidth="1"/>
    <col min="16148" max="16148" width="32.28515625" style="3" bestFit="1" customWidth="1"/>
    <col min="16149" max="16149" width="9.42578125" style="3" bestFit="1" customWidth="1"/>
    <col min="16150" max="16150" width="14.28515625" style="3" bestFit="1" customWidth="1"/>
    <col min="16151" max="16151" width="61.5703125" style="3" customWidth="1"/>
    <col min="16152" max="16152" width="9.85546875" style="3" bestFit="1" customWidth="1"/>
    <col min="16153" max="16154" width="14.85546875" style="3" bestFit="1" customWidth="1"/>
    <col min="16155" max="16167" width="14.85546875" style="3" customWidth="1"/>
    <col min="16168" max="16168" width="18.5703125" style="3" bestFit="1" customWidth="1"/>
    <col min="16169" max="16169" width="18.5703125" style="3" customWidth="1"/>
    <col min="16170" max="16384" width="9.140625" style="3"/>
  </cols>
  <sheetData>
    <row r="1" spans="1:109" x14ac:dyDescent="0.2">
      <c r="BD1" s="30" t="s">
        <v>1496</v>
      </c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</row>
    <row r="2" spans="1:109" x14ac:dyDescent="0.2"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</row>
    <row r="3" spans="1:109" x14ac:dyDescent="0.2">
      <c r="BD3" s="3" t="s">
        <v>360</v>
      </c>
      <c r="BE3" s="3">
        <v>0</v>
      </c>
      <c r="BF3" s="3" t="s">
        <v>347</v>
      </c>
      <c r="BL3" s="3">
        <v>10</v>
      </c>
      <c r="BM3" s="3">
        <v>15</v>
      </c>
      <c r="BN3" s="3">
        <v>15</v>
      </c>
      <c r="BO3" s="3">
        <v>20</v>
      </c>
      <c r="BP3" s="3">
        <v>20</v>
      </c>
      <c r="BQ3" s="3">
        <v>20</v>
      </c>
      <c r="BR3" s="3">
        <v>20</v>
      </c>
      <c r="BS3" s="3">
        <v>10</v>
      </c>
      <c r="CE3" s="3" t="s">
        <v>360</v>
      </c>
      <c r="CF3" s="3">
        <v>0</v>
      </c>
      <c r="CG3" s="3" t="s">
        <v>347</v>
      </c>
      <c r="CI3" s="3">
        <f>BH3</f>
        <v>0</v>
      </c>
      <c r="CJ3" s="3">
        <f t="shared" ref="CJ3:DE3" si="0">BI3</f>
        <v>0</v>
      </c>
      <c r="CK3" s="3">
        <f t="shared" si="0"/>
        <v>0</v>
      </c>
      <c r="CL3" s="3">
        <f t="shared" si="0"/>
        <v>0</v>
      </c>
      <c r="CM3" s="3">
        <f t="shared" si="0"/>
        <v>10</v>
      </c>
      <c r="CN3" s="3">
        <f t="shared" si="0"/>
        <v>15</v>
      </c>
      <c r="CO3" s="3">
        <f t="shared" si="0"/>
        <v>15</v>
      </c>
      <c r="CP3" s="3">
        <f t="shared" si="0"/>
        <v>20</v>
      </c>
      <c r="CQ3" s="3">
        <f t="shared" si="0"/>
        <v>20</v>
      </c>
      <c r="CR3" s="3">
        <f t="shared" si="0"/>
        <v>20</v>
      </c>
      <c r="CS3" s="3">
        <f t="shared" si="0"/>
        <v>20</v>
      </c>
      <c r="CT3" s="3">
        <f t="shared" si="0"/>
        <v>10</v>
      </c>
      <c r="CU3" s="3">
        <f t="shared" si="0"/>
        <v>0</v>
      </c>
      <c r="CV3" s="3">
        <f t="shared" si="0"/>
        <v>0</v>
      </c>
      <c r="CW3" s="3">
        <f t="shared" si="0"/>
        <v>0</v>
      </c>
      <c r="CX3" s="3">
        <f t="shared" si="0"/>
        <v>0</v>
      </c>
      <c r="CY3" s="3">
        <f t="shared" si="0"/>
        <v>0</v>
      </c>
      <c r="CZ3" s="3">
        <f t="shared" si="0"/>
        <v>0</v>
      </c>
      <c r="DA3" s="3">
        <f t="shared" si="0"/>
        <v>0</v>
      </c>
      <c r="DB3" s="3">
        <f t="shared" si="0"/>
        <v>0</v>
      </c>
      <c r="DC3" s="3">
        <f t="shared" si="0"/>
        <v>0</v>
      </c>
      <c r="DD3" s="3">
        <f t="shared" si="0"/>
        <v>0</v>
      </c>
      <c r="DE3" s="3">
        <f t="shared" si="0"/>
        <v>0</v>
      </c>
    </row>
    <row r="4" spans="1:109" x14ac:dyDescent="0.2">
      <c r="BD4" s="3" t="s">
        <v>566</v>
      </c>
      <c r="BE4" s="3">
        <v>1</v>
      </c>
      <c r="BF4" s="3" t="s">
        <v>348</v>
      </c>
      <c r="BK4" s="3">
        <f>BL3</f>
        <v>10</v>
      </c>
      <c r="BL4" s="3">
        <f t="shared" ref="BL4:BS5" si="1">BM3</f>
        <v>15</v>
      </c>
      <c r="BM4" s="3">
        <f t="shared" si="1"/>
        <v>15</v>
      </c>
      <c r="BN4" s="3">
        <f t="shared" si="1"/>
        <v>20</v>
      </c>
      <c r="BO4" s="3">
        <f t="shared" si="1"/>
        <v>20</v>
      </c>
      <c r="BP4" s="3">
        <f t="shared" si="1"/>
        <v>20</v>
      </c>
      <c r="BQ4" s="3">
        <f t="shared" si="1"/>
        <v>20</v>
      </c>
      <c r="BR4" s="3">
        <f t="shared" si="1"/>
        <v>10</v>
      </c>
      <c r="BS4" s="3">
        <f t="shared" si="1"/>
        <v>0</v>
      </c>
      <c r="CE4" s="3" t="s">
        <v>566</v>
      </c>
      <c r="CF4" s="3">
        <v>1</v>
      </c>
      <c r="CG4" s="3" t="s">
        <v>348</v>
      </c>
      <c r="CI4" s="3">
        <f t="shared" ref="CI4:CI14" si="2">BH4</f>
        <v>0</v>
      </c>
      <c r="CJ4" s="3">
        <f t="shared" ref="CJ4:CJ14" si="3">BI4</f>
        <v>0</v>
      </c>
      <c r="CK4" s="3">
        <f t="shared" ref="CK4:CK14" si="4">BJ4</f>
        <v>0</v>
      </c>
      <c r="CL4" s="3">
        <f t="shared" ref="CL4:CL14" si="5">BK4</f>
        <v>10</v>
      </c>
      <c r="CM4" s="3">
        <f t="shared" ref="CM4:CM14" si="6">BL4</f>
        <v>15</v>
      </c>
      <c r="CN4" s="3">
        <f t="shared" ref="CN4:CN14" si="7">BM4</f>
        <v>15</v>
      </c>
      <c r="CO4" s="3">
        <f t="shared" ref="CO4:CO14" si="8">BN4</f>
        <v>20</v>
      </c>
      <c r="CP4" s="3">
        <f t="shared" ref="CP4:CP14" si="9">BO4</f>
        <v>20</v>
      </c>
      <c r="CQ4" s="3">
        <f t="shared" ref="CQ4:CQ14" si="10">BP4</f>
        <v>20</v>
      </c>
      <c r="CR4" s="3">
        <f t="shared" ref="CR4:CR14" si="11">BQ4</f>
        <v>20</v>
      </c>
      <c r="CS4" s="3">
        <f t="shared" ref="CS4:CS14" si="12">BR4</f>
        <v>10</v>
      </c>
      <c r="CT4" s="3">
        <f t="shared" ref="CT4:CT14" si="13">BS4</f>
        <v>0</v>
      </c>
      <c r="CU4" s="3">
        <f t="shared" ref="CU4:CU14" si="14">BT4</f>
        <v>0</v>
      </c>
      <c r="CV4" s="3">
        <f t="shared" ref="CV4:CV14" si="15">BU4</f>
        <v>0</v>
      </c>
      <c r="CW4" s="3">
        <f t="shared" ref="CW4:CW14" si="16">BV4</f>
        <v>0</v>
      </c>
      <c r="CX4" s="3">
        <f t="shared" ref="CX4:CX14" si="17">BW4</f>
        <v>0</v>
      </c>
      <c r="CY4" s="3">
        <f t="shared" ref="CY4:CY14" si="18">BX4</f>
        <v>0</v>
      </c>
      <c r="CZ4" s="3">
        <f t="shared" ref="CZ4:CZ14" si="19">BY4</f>
        <v>0</v>
      </c>
      <c r="DA4" s="3">
        <f t="shared" ref="DA4:DA14" si="20">BZ4</f>
        <v>0</v>
      </c>
      <c r="DB4" s="3">
        <f t="shared" ref="DB4:DB14" si="21">CA4</f>
        <v>0</v>
      </c>
      <c r="DC4" s="3">
        <f t="shared" ref="DC4:DC14" si="22">CB4</f>
        <v>0</v>
      </c>
      <c r="DD4" s="3">
        <f t="shared" ref="DD4:DD14" si="23">CC4</f>
        <v>0</v>
      </c>
      <c r="DE4" s="3">
        <f t="shared" ref="DE4:DE14" si="24">CD4</f>
        <v>0</v>
      </c>
    </row>
    <row r="5" spans="1:109" x14ac:dyDescent="0.2">
      <c r="BD5" s="3" t="s">
        <v>517</v>
      </c>
      <c r="BE5" s="3">
        <v>2</v>
      </c>
      <c r="BF5" s="3" t="s">
        <v>349</v>
      </c>
      <c r="BJ5" s="3">
        <f>BK4</f>
        <v>10</v>
      </c>
      <c r="BK5" s="3">
        <f t="shared" ref="BK5" si="25">BL4</f>
        <v>15</v>
      </c>
      <c r="BL5" s="3">
        <f t="shared" si="1"/>
        <v>15</v>
      </c>
      <c r="BM5" s="3">
        <f t="shared" si="1"/>
        <v>20</v>
      </c>
      <c r="BN5" s="3">
        <f t="shared" si="1"/>
        <v>20</v>
      </c>
      <c r="BO5" s="3">
        <f t="shared" si="1"/>
        <v>20</v>
      </c>
      <c r="BP5" s="3">
        <f t="shared" si="1"/>
        <v>20</v>
      </c>
      <c r="BQ5" s="3">
        <f t="shared" si="1"/>
        <v>10</v>
      </c>
      <c r="BR5" s="3">
        <f t="shared" si="1"/>
        <v>0</v>
      </c>
      <c r="BS5" s="3">
        <f t="shared" si="1"/>
        <v>0</v>
      </c>
      <c r="CE5" s="3" t="s">
        <v>517</v>
      </c>
      <c r="CF5" s="3">
        <v>2</v>
      </c>
      <c r="CG5" s="3" t="s">
        <v>349</v>
      </c>
      <c r="CI5" s="3">
        <f t="shared" si="2"/>
        <v>0</v>
      </c>
      <c r="CJ5" s="3">
        <f t="shared" si="3"/>
        <v>0</v>
      </c>
      <c r="CK5" s="3">
        <f t="shared" si="4"/>
        <v>10</v>
      </c>
      <c r="CL5" s="3">
        <f t="shared" si="5"/>
        <v>15</v>
      </c>
      <c r="CM5" s="3">
        <f t="shared" si="6"/>
        <v>15</v>
      </c>
      <c r="CN5" s="3">
        <f t="shared" si="7"/>
        <v>20</v>
      </c>
      <c r="CO5" s="3">
        <f t="shared" si="8"/>
        <v>20</v>
      </c>
      <c r="CP5" s="3">
        <f t="shared" si="9"/>
        <v>20</v>
      </c>
      <c r="CQ5" s="3">
        <f t="shared" si="10"/>
        <v>20</v>
      </c>
      <c r="CR5" s="3">
        <f t="shared" si="11"/>
        <v>10</v>
      </c>
      <c r="CS5" s="3">
        <f t="shared" si="12"/>
        <v>0</v>
      </c>
      <c r="CT5" s="3">
        <f t="shared" si="13"/>
        <v>0</v>
      </c>
      <c r="CU5" s="3">
        <f t="shared" si="14"/>
        <v>0</v>
      </c>
      <c r="CV5" s="3">
        <f t="shared" si="15"/>
        <v>0</v>
      </c>
      <c r="CW5" s="3">
        <f t="shared" si="16"/>
        <v>0</v>
      </c>
      <c r="CX5" s="3">
        <f t="shared" si="17"/>
        <v>0</v>
      </c>
      <c r="CY5" s="3">
        <f t="shared" si="18"/>
        <v>0</v>
      </c>
      <c r="CZ5" s="3">
        <f t="shared" si="19"/>
        <v>0</v>
      </c>
      <c r="DA5" s="3">
        <f t="shared" si="20"/>
        <v>0</v>
      </c>
      <c r="DB5" s="3">
        <f t="shared" si="21"/>
        <v>0</v>
      </c>
      <c r="DC5" s="3">
        <f t="shared" si="22"/>
        <v>0</v>
      </c>
      <c r="DD5" s="3">
        <f t="shared" si="23"/>
        <v>0</v>
      </c>
      <c r="DE5" s="3">
        <f t="shared" si="24"/>
        <v>0</v>
      </c>
    </row>
    <row r="6" spans="1:109" x14ac:dyDescent="0.2">
      <c r="BD6" s="3" t="s">
        <v>372</v>
      </c>
      <c r="BE6" s="3">
        <v>2</v>
      </c>
      <c r="BF6" s="3" t="s">
        <v>350</v>
      </c>
      <c r="BJ6" s="3">
        <f>BJ5</f>
        <v>10</v>
      </c>
      <c r="BK6" s="3">
        <f t="shared" ref="BK6:BS6" si="26">BK5</f>
        <v>15</v>
      </c>
      <c r="BL6" s="3">
        <f t="shared" si="26"/>
        <v>15</v>
      </c>
      <c r="BM6" s="3">
        <f t="shared" si="26"/>
        <v>20</v>
      </c>
      <c r="BN6" s="3">
        <f t="shared" si="26"/>
        <v>20</v>
      </c>
      <c r="BO6" s="3">
        <f t="shared" si="26"/>
        <v>20</v>
      </c>
      <c r="BP6" s="3">
        <f t="shared" si="26"/>
        <v>20</v>
      </c>
      <c r="BQ6" s="3">
        <f t="shared" si="26"/>
        <v>10</v>
      </c>
      <c r="BR6" s="3">
        <f t="shared" si="26"/>
        <v>0</v>
      </c>
      <c r="BS6" s="3">
        <f t="shared" si="26"/>
        <v>0</v>
      </c>
      <c r="CE6" s="3" t="s">
        <v>372</v>
      </c>
      <c r="CF6" s="3">
        <v>2</v>
      </c>
      <c r="CG6" s="3" t="s">
        <v>350</v>
      </c>
      <c r="CI6" s="3">
        <f t="shared" si="2"/>
        <v>0</v>
      </c>
      <c r="CJ6" s="3">
        <f t="shared" si="3"/>
        <v>0</v>
      </c>
      <c r="CK6" s="3">
        <f t="shared" si="4"/>
        <v>10</v>
      </c>
      <c r="CL6" s="3">
        <f t="shared" si="5"/>
        <v>15</v>
      </c>
      <c r="CM6" s="3">
        <f t="shared" si="6"/>
        <v>15</v>
      </c>
      <c r="CN6" s="3">
        <f t="shared" si="7"/>
        <v>20</v>
      </c>
      <c r="CO6" s="3">
        <f t="shared" si="8"/>
        <v>20</v>
      </c>
      <c r="CP6" s="3">
        <f t="shared" si="9"/>
        <v>20</v>
      </c>
      <c r="CQ6" s="3">
        <f t="shared" si="10"/>
        <v>20</v>
      </c>
      <c r="CR6" s="3">
        <f t="shared" si="11"/>
        <v>10</v>
      </c>
      <c r="CS6" s="3">
        <f t="shared" si="12"/>
        <v>0</v>
      </c>
      <c r="CT6" s="3">
        <f t="shared" si="13"/>
        <v>0</v>
      </c>
      <c r="CU6" s="3">
        <f t="shared" si="14"/>
        <v>0</v>
      </c>
      <c r="CV6" s="3">
        <f t="shared" si="15"/>
        <v>0</v>
      </c>
      <c r="CW6" s="3">
        <f t="shared" si="16"/>
        <v>0</v>
      </c>
      <c r="CX6" s="3">
        <f t="shared" si="17"/>
        <v>0</v>
      </c>
      <c r="CY6" s="3">
        <f t="shared" si="18"/>
        <v>0</v>
      </c>
      <c r="CZ6" s="3">
        <f t="shared" si="19"/>
        <v>0</v>
      </c>
      <c r="DA6" s="3">
        <f t="shared" si="20"/>
        <v>0</v>
      </c>
      <c r="DB6" s="3">
        <f t="shared" si="21"/>
        <v>0</v>
      </c>
      <c r="DC6" s="3">
        <f t="shared" si="22"/>
        <v>0</v>
      </c>
      <c r="DD6" s="3">
        <f t="shared" si="23"/>
        <v>0</v>
      </c>
      <c r="DE6" s="3">
        <f t="shared" si="24"/>
        <v>0</v>
      </c>
    </row>
    <row r="7" spans="1:109" x14ac:dyDescent="0.2">
      <c r="BD7" s="3" t="s">
        <v>569</v>
      </c>
      <c r="BE7" s="3">
        <v>1</v>
      </c>
      <c r="BF7" s="3" t="s">
        <v>351</v>
      </c>
      <c r="BK7" s="3">
        <f>BK4</f>
        <v>10</v>
      </c>
      <c r="BL7" s="3">
        <f t="shared" ref="BL7:BS7" si="27">BL4</f>
        <v>15</v>
      </c>
      <c r="BM7" s="3">
        <f t="shared" si="27"/>
        <v>15</v>
      </c>
      <c r="BN7" s="3">
        <f t="shared" si="27"/>
        <v>20</v>
      </c>
      <c r="BO7" s="3">
        <f t="shared" si="27"/>
        <v>20</v>
      </c>
      <c r="BP7" s="3">
        <f t="shared" si="27"/>
        <v>20</v>
      </c>
      <c r="BQ7" s="3">
        <f t="shared" si="27"/>
        <v>20</v>
      </c>
      <c r="BR7" s="3">
        <f t="shared" si="27"/>
        <v>10</v>
      </c>
      <c r="BS7" s="3">
        <f t="shared" si="27"/>
        <v>0</v>
      </c>
      <c r="CE7" s="3" t="s">
        <v>569</v>
      </c>
      <c r="CF7" s="3">
        <v>1</v>
      </c>
      <c r="CG7" s="3" t="s">
        <v>351</v>
      </c>
      <c r="CI7" s="3">
        <f t="shared" si="2"/>
        <v>0</v>
      </c>
      <c r="CJ7" s="3">
        <f t="shared" si="3"/>
        <v>0</v>
      </c>
      <c r="CK7" s="3">
        <f t="shared" si="4"/>
        <v>0</v>
      </c>
      <c r="CL7" s="3">
        <f t="shared" si="5"/>
        <v>10</v>
      </c>
      <c r="CM7" s="3">
        <f t="shared" si="6"/>
        <v>15</v>
      </c>
      <c r="CN7" s="3">
        <f t="shared" si="7"/>
        <v>15</v>
      </c>
      <c r="CO7" s="3">
        <f t="shared" si="8"/>
        <v>20</v>
      </c>
      <c r="CP7" s="3">
        <f t="shared" si="9"/>
        <v>20</v>
      </c>
      <c r="CQ7" s="3">
        <f t="shared" si="10"/>
        <v>20</v>
      </c>
      <c r="CR7" s="3">
        <f t="shared" si="11"/>
        <v>20</v>
      </c>
      <c r="CS7" s="3">
        <f t="shared" si="12"/>
        <v>10</v>
      </c>
      <c r="CT7" s="3">
        <f t="shared" si="13"/>
        <v>0</v>
      </c>
      <c r="CU7" s="3">
        <f t="shared" si="14"/>
        <v>0</v>
      </c>
      <c r="CV7" s="3">
        <f t="shared" si="15"/>
        <v>0</v>
      </c>
      <c r="CW7" s="3">
        <f t="shared" si="16"/>
        <v>0</v>
      </c>
      <c r="CX7" s="3">
        <f t="shared" si="17"/>
        <v>0</v>
      </c>
      <c r="CY7" s="3">
        <f t="shared" si="18"/>
        <v>0</v>
      </c>
      <c r="CZ7" s="3">
        <f t="shared" si="19"/>
        <v>0</v>
      </c>
      <c r="DA7" s="3">
        <f t="shared" si="20"/>
        <v>0</v>
      </c>
      <c r="DB7" s="3">
        <f t="shared" si="21"/>
        <v>0</v>
      </c>
      <c r="DC7" s="3">
        <f t="shared" si="22"/>
        <v>0</v>
      </c>
      <c r="DD7" s="3">
        <f t="shared" si="23"/>
        <v>0</v>
      </c>
      <c r="DE7" s="3">
        <f t="shared" si="24"/>
        <v>0</v>
      </c>
    </row>
    <row r="8" spans="1:109" x14ac:dyDescent="0.2">
      <c r="BD8" s="3" t="s">
        <v>517</v>
      </c>
      <c r="BE8" s="3">
        <v>2</v>
      </c>
      <c r="BF8" s="3" t="s">
        <v>349</v>
      </c>
      <c r="BJ8" s="3">
        <f>BK7</f>
        <v>10</v>
      </c>
      <c r="BK8" s="3">
        <f t="shared" ref="BK8:BR8" si="28">BL7</f>
        <v>15</v>
      </c>
      <c r="BL8" s="3">
        <f t="shared" si="28"/>
        <v>15</v>
      </c>
      <c r="BM8" s="3">
        <f t="shared" si="28"/>
        <v>20</v>
      </c>
      <c r="BN8" s="3">
        <f t="shared" si="28"/>
        <v>20</v>
      </c>
      <c r="BO8" s="3">
        <f t="shared" si="28"/>
        <v>20</v>
      </c>
      <c r="BP8" s="3">
        <f t="shared" si="28"/>
        <v>20</v>
      </c>
      <c r="BQ8" s="3">
        <f t="shared" si="28"/>
        <v>10</v>
      </c>
      <c r="BR8" s="3">
        <f t="shared" si="28"/>
        <v>0</v>
      </c>
      <c r="CE8" s="3" t="s">
        <v>517</v>
      </c>
      <c r="CF8" s="3">
        <v>2</v>
      </c>
      <c r="CG8" s="3" t="s">
        <v>349</v>
      </c>
      <c r="CI8" s="3">
        <f t="shared" si="2"/>
        <v>0</v>
      </c>
      <c r="CJ8" s="3">
        <f t="shared" si="3"/>
        <v>0</v>
      </c>
      <c r="CK8" s="3">
        <f t="shared" si="4"/>
        <v>10</v>
      </c>
      <c r="CL8" s="3">
        <f t="shared" si="5"/>
        <v>15</v>
      </c>
      <c r="CM8" s="3">
        <f t="shared" si="6"/>
        <v>15</v>
      </c>
      <c r="CN8" s="3">
        <f t="shared" si="7"/>
        <v>20</v>
      </c>
      <c r="CO8" s="3">
        <f t="shared" si="8"/>
        <v>20</v>
      </c>
      <c r="CP8" s="3">
        <f t="shared" si="9"/>
        <v>20</v>
      </c>
      <c r="CQ8" s="3">
        <f t="shared" si="10"/>
        <v>20</v>
      </c>
      <c r="CR8" s="3">
        <f t="shared" si="11"/>
        <v>10</v>
      </c>
      <c r="CS8" s="3">
        <f t="shared" si="12"/>
        <v>0</v>
      </c>
      <c r="CT8" s="3">
        <f t="shared" si="13"/>
        <v>0</v>
      </c>
      <c r="CU8" s="3">
        <f t="shared" si="14"/>
        <v>0</v>
      </c>
      <c r="CV8" s="3">
        <f t="shared" si="15"/>
        <v>0</v>
      </c>
      <c r="CW8" s="3">
        <f t="shared" si="16"/>
        <v>0</v>
      </c>
      <c r="CX8" s="3">
        <f t="shared" si="17"/>
        <v>0</v>
      </c>
      <c r="CY8" s="3">
        <f t="shared" si="18"/>
        <v>0</v>
      </c>
      <c r="CZ8" s="3">
        <f t="shared" si="19"/>
        <v>0</v>
      </c>
      <c r="DA8" s="3">
        <f t="shared" si="20"/>
        <v>0</v>
      </c>
      <c r="DB8" s="3">
        <f t="shared" si="21"/>
        <v>0</v>
      </c>
      <c r="DC8" s="3">
        <f t="shared" si="22"/>
        <v>0</v>
      </c>
      <c r="DD8" s="3">
        <f t="shared" si="23"/>
        <v>0</v>
      </c>
      <c r="DE8" s="3">
        <f t="shared" si="24"/>
        <v>0</v>
      </c>
    </row>
    <row r="9" spans="1:109" x14ac:dyDescent="0.2">
      <c r="BD9" s="3" t="s">
        <v>572</v>
      </c>
      <c r="BE9" s="3">
        <v>1</v>
      </c>
      <c r="BF9" s="3" t="s">
        <v>352</v>
      </c>
      <c r="BK9" s="3">
        <f>BK4</f>
        <v>10</v>
      </c>
      <c r="BL9" s="3">
        <f t="shared" ref="BL9:BS9" si="29">BL4</f>
        <v>15</v>
      </c>
      <c r="BM9" s="3">
        <v>17</v>
      </c>
      <c r="BN9" s="3">
        <f t="shared" si="29"/>
        <v>20</v>
      </c>
      <c r="BO9" s="3">
        <f t="shared" si="29"/>
        <v>20</v>
      </c>
      <c r="BP9" s="3">
        <f t="shared" si="29"/>
        <v>20</v>
      </c>
      <c r="BQ9" s="3">
        <f t="shared" si="29"/>
        <v>20</v>
      </c>
      <c r="BR9" s="3">
        <v>20</v>
      </c>
      <c r="BS9" s="3">
        <f t="shared" si="29"/>
        <v>0</v>
      </c>
      <c r="CE9" s="3" t="s">
        <v>572</v>
      </c>
      <c r="CF9" s="3">
        <v>1</v>
      </c>
      <c r="CG9" s="3" t="s">
        <v>352</v>
      </c>
      <c r="CI9" s="3">
        <f t="shared" si="2"/>
        <v>0</v>
      </c>
      <c r="CJ9" s="3">
        <f t="shared" si="3"/>
        <v>0</v>
      </c>
      <c r="CK9" s="3">
        <f t="shared" si="4"/>
        <v>0</v>
      </c>
      <c r="CL9" s="3">
        <f t="shared" si="5"/>
        <v>10</v>
      </c>
      <c r="CM9" s="3">
        <f t="shared" si="6"/>
        <v>15</v>
      </c>
      <c r="CN9" s="3">
        <f t="shared" si="7"/>
        <v>17</v>
      </c>
      <c r="CO9" s="3">
        <f t="shared" si="8"/>
        <v>20</v>
      </c>
      <c r="CP9" s="3">
        <f t="shared" si="9"/>
        <v>20</v>
      </c>
      <c r="CQ9" s="3">
        <f t="shared" si="10"/>
        <v>20</v>
      </c>
      <c r="CR9" s="3">
        <f t="shared" si="11"/>
        <v>20</v>
      </c>
      <c r="CS9" s="3">
        <f t="shared" si="12"/>
        <v>20</v>
      </c>
      <c r="CT9" s="3">
        <f t="shared" si="13"/>
        <v>0</v>
      </c>
      <c r="CU9" s="3">
        <f t="shared" si="14"/>
        <v>0</v>
      </c>
      <c r="CV9" s="3">
        <f t="shared" si="15"/>
        <v>0</v>
      </c>
      <c r="CW9" s="3">
        <f t="shared" si="16"/>
        <v>0</v>
      </c>
      <c r="CX9" s="3">
        <f t="shared" si="17"/>
        <v>0</v>
      </c>
      <c r="CY9" s="3">
        <f t="shared" si="18"/>
        <v>0</v>
      </c>
      <c r="CZ9" s="3">
        <f t="shared" si="19"/>
        <v>0</v>
      </c>
      <c r="DA9" s="3">
        <f t="shared" si="20"/>
        <v>0</v>
      </c>
      <c r="DB9" s="3">
        <f t="shared" si="21"/>
        <v>0</v>
      </c>
      <c r="DC9" s="3">
        <f t="shared" si="22"/>
        <v>0</v>
      </c>
      <c r="DD9" s="3">
        <f t="shared" si="23"/>
        <v>0</v>
      </c>
      <c r="DE9" s="3">
        <f t="shared" si="24"/>
        <v>0</v>
      </c>
    </row>
    <row r="10" spans="1:109" x14ac:dyDescent="0.2">
      <c r="BD10" s="3" t="s">
        <v>466</v>
      </c>
      <c r="BE10" s="3">
        <v>2</v>
      </c>
      <c r="BF10" s="3" t="s">
        <v>353</v>
      </c>
      <c r="BJ10" s="3">
        <f>BK9</f>
        <v>10</v>
      </c>
      <c r="BK10" s="3">
        <f t="shared" ref="BK10:BR10" si="30">BL9</f>
        <v>15</v>
      </c>
      <c r="BL10" s="3">
        <f t="shared" si="30"/>
        <v>17</v>
      </c>
      <c r="BM10" s="3">
        <f t="shared" si="30"/>
        <v>20</v>
      </c>
      <c r="BN10" s="3">
        <f t="shared" si="30"/>
        <v>20</v>
      </c>
      <c r="BO10" s="3">
        <f t="shared" si="30"/>
        <v>20</v>
      </c>
      <c r="BP10" s="3">
        <f t="shared" si="30"/>
        <v>20</v>
      </c>
      <c r="BQ10" s="3">
        <f t="shared" si="30"/>
        <v>20</v>
      </c>
      <c r="BR10" s="3">
        <f t="shared" si="30"/>
        <v>0</v>
      </c>
      <c r="BS10" s="3">
        <f t="shared" ref="BS10" si="31">BT9</f>
        <v>0</v>
      </c>
      <c r="CE10" s="3" t="s">
        <v>466</v>
      </c>
      <c r="CF10" s="3">
        <v>2</v>
      </c>
      <c r="CG10" s="3" t="s">
        <v>353</v>
      </c>
      <c r="CI10" s="3">
        <f t="shared" si="2"/>
        <v>0</v>
      </c>
      <c r="CJ10" s="3">
        <f t="shared" si="3"/>
        <v>0</v>
      </c>
      <c r="CK10" s="3">
        <f t="shared" si="4"/>
        <v>10</v>
      </c>
      <c r="CL10" s="3">
        <f t="shared" si="5"/>
        <v>15</v>
      </c>
      <c r="CM10" s="3">
        <f t="shared" si="6"/>
        <v>17</v>
      </c>
      <c r="CN10" s="3">
        <f t="shared" si="7"/>
        <v>20</v>
      </c>
      <c r="CO10" s="3">
        <f t="shared" si="8"/>
        <v>20</v>
      </c>
      <c r="CP10" s="3">
        <f t="shared" si="9"/>
        <v>20</v>
      </c>
      <c r="CQ10" s="3">
        <f t="shared" si="10"/>
        <v>20</v>
      </c>
      <c r="CR10" s="3">
        <f t="shared" si="11"/>
        <v>20</v>
      </c>
      <c r="CS10" s="3">
        <f t="shared" si="12"/>
        <v>0</v>
      </c>
      <c r="CT10" s="3">
        <f t="shared" si="13"/>
        <v>0</v>
      </c>
      <c r="CU10" s="3">
        <f t="shared" si="14"/>
        <v>0</v>
      </c>
      <c r="CV10" s="3">
        <f t="shared" si="15"/>
        <v>0</v>
      </c>
      <c r="CW10" s="3">
        <f t="shared" si="16"/>
        <v>0</v>
      </c>
      <c r="CX10" s="3">
        <f t="shared" si="17"/>
        <v>0</v>
      </c>
      <c r="CY10" s="3">
        <f t="shared" si="18"/>
        <v>0</v>
      </c>
      <c r="CZ10" s="3">
        <f t="shared" si="19"/>
        <v>0</v>
      </c>
      <c r="DA10" s="3">
        <f t="shared" si="20"/>
        <v>0</v>
      </c>
      <c r="DB10" s="3">
        <f t="shared" si="21"/>
        <v>0</v>
      </c>
      <c r="DC10" s="3">
        <f t="shared" si="22"/>
        <v>0</v>
      </c>
      <c r="DD10" s="3">
        <f t="shared" si="23"/>
        <v>0</v>
      </c>
      <c r="DE10" s="3">
        <f t="shared" si="24"/>
        <v>0</v>
      </c>
    </row>
    <row r="11" spans="1:109" x14ac:dyDescent="0.2">
      <c r="A11" s="3">
        <v>119</v>
      </c>
      <c r="J11" s="3">
        <v>130</v>
      </c>
      <c r="K11" s="3">
        <v>130</v>
      </c>
      <c r="L11" s="3">
        <v>130</v>
      </c>
      <c r="M11" s="3">
        <v>130</v>
      </c>
      <c r="N11" s="3">
        <v>130</v>
      </c>
      <c r="O11" s="3">
        <v>130</v>
      </c>
      <c r="P11" s="3">
        <v>142</v>
      </c>
      <c r="Q11" s="3">
        <v>142</v>
      </c>
      <c r="R11" s="3">
        <v>130</v>
      </c>
      <c r="S11" s="3">
        <v>130</v>
      </c>
      <c r="T11" s="3">
        <v>145</v>
      </c>
      <c r="U11" s="3">
        <v>145</v>
      </c>
      <c r="BD11" s="3" t="s">
        <v>422</v>
      </c>
      <c r="BE11" s="3">
        <v>1</v>
      </c>
      <c r="BF11" s="3" t="s">
        <v>354</v>
      </c>
      <c r="BK11" s="3">
        <f>BK4</f>
        <v>10</v>
      </c>
      <c r="BL11" s="3">
        <f t="shared" ref="BL11:BS11" si="32">BL4</f>
        <v>15</v>
      </c>
      <c r="BM11" s="3">
        <f t="shared" si="32"/>
        <v>15</v>
      </c>
      <c r="BN11" s="3">
        <f t="shared" si="32"/>
        <v>20</v>
      </c>
      <c r="BO11" s="3">
        <f t="shared" si="32"/>
        <v>20</v>
      </c>
      <c r="BP11" s="3">
        <f t="shared" si="32"/>
        <v>20</v>
      </c>
      <c r="BQ11" s="3">
        <f t="shared" si="32"/>
        <v>20</v>
      </c>
      <c r="BR11" s="3">
        <f t="shared" si="32"/>
        <v>10</v>
      </c>
      <c r="BS11" s="3">
        <f t="shared" si="32"/>
        <v>0</v>
      </c>
      <c r="CE11" s="3" t="s">
        <v>422</v>
      </c>
      <c r="CF11" s="3">
        <v>1</v>
      </c>
      <c r="CG11" s="3" t="s">
        <v>354</v>
      </c>
      <c r="CI11" s="3">
        <f t="shared" si="2"/>
        <v>0</v>
      </c>
      <c r="CJ11" s="3">
        <f t="shared" si="3"/>
        <v>0</v>
      </c>
      <c r="CK11" s="3">
        <f t="shared" si="4"/>
        <v>0</v>
      </c>
      <c r="CL11" s="3">
        <f t="shared" si="5"/>
        <v>10</v>
      </c>
      <c r="CM11" s="3">
        <f t="shared" si="6"/>
        <v>15</v>
      </c>
      <c r="CN11" s="3">
        <f t="shared" si="7"/>
        <v>15</v>
      </c>
      <c r="CO11" s="3">
        <f t="shared" si="8"/>
        <v>20</v>
      </c>
      <c r="CP11" s="3">
        <f t="shared" si="9"/>
        <v>20</v>
      </c>
      <c r="CQ11" s="3">
        <f t="shared" si="10"/>
        <v>20</v>
      </c>
      <c r="CR11" s="3">
        <f t="shared" si="11"/>
        <v>20</v>
      </c>
      <c r="CS11" s="3">
        <f t="shared" si="12"/>
        <v>10</v>
      </c>
      <c r="CT11" s="3">
        <f t="shared" si="13"/>
        <v>0</v>
      </c>
      <c r="CU11" s="3">
        <f t="shared" si="14"/>
        <v>0</v>
      </c>
      <c r="CV11" s="3">
        <f t="shared" si="15"/>
        <v>0</v>
      </c>
      <c r="CW11" s="3">
        <f t="shared" si="16"/>
        <v>0</v>
      </c>
      <c r="CX11" s="3">
        <f t="shared" si="17"/>
        <v>0</v>
      </c>
      <c r="CY11" s="3">
        <f t="shared" si="18"/>
        <v>0</v>
      </c>
      <c r="CZ11" s="3">
        <f t="shared" si="19"/>
        <v>0</v>
      </c>
      <c r="DA11" s="3">
        <f t="shared" si="20"/>
        <v>0</v>
      </c>
      <c r="DB11" s="3">
        <f t="shared" si="21"/>
        <v>0</v>
      </c>
      <c r="DC11" s="3">
        <f t="shared" si="22"/>
        <v>0</v>
      </c>
      <c r="DD11" s="3">
        <f t="shared" si="23"/>
        <v>0</v>
      </c>
      <c r="DE11" s="3">
        <f t="shared" si="24"/>
        <v>0</v>
      </c>
    </row>
    <row r="12" spans="1:109" ht="13.5" thickBot="1" x14ac:dyDescent="0.25">
      <c r="A12" s="3">
        <v>1</v>
      </c>
      <c r="J12" s="3">
        <f t="shared" ref="J12:U12" si="33">COUNTIF(J16:J206,"&gt;0")</f>
        <v>79</v>
      </c>
      <c r="K12" s="3">
        <f t="shared" si="33"/>
        <v>70</v>
      </c>
      <c r="L12" s="3">
        <f t="shared" si="33"/>
        <v>9</v>
      </c>
      <c r="M12" s="3">
        <f t="shared" si="33"/>
        <v>2</v>
      </c>
      <c r="N12" s="3">
        <f t="shared" si="33"/>
        <v>66</v>
      </c>
      <c r="O12" s="3">
        <f t="shared" si="33"/>
        <v>9</v>
      </c>
      <c r="P12" s="3">
        <f t="shared" si="33"/>
        <v>6</v>
      </c>
      <c r="Q12" s="3">
        <f t="shared" si="33"/>
        <v>11</v>
      </c>
      <c r="R12" s="3">
        <f t="shared" si="33"/>
        <v>5</v>
      </c>
      <c r="S12" s="3">
        <f t="shared" si="33"/>
        <v>4</v>
      </c>
      <c r="T12" s="3">
        <f t="shared" si="33"/>
        <v>15</v>
      </c>
      <c r="U12" s="3">
        <f t="shared" si="33"/>
        <v>4</v>
      </c>
      <c r="BD12" s="3" t="s">
        <v>421</v>
      </c>
      <c r="BE12" s="3">
        <v>1</v>
      </c>
      <c r="BF12" s="3" t="s">
        <v>355</v>
      </c>
      <c r="BK12" s="3">
        <f>BK11</f>
        <v>10</v>
      </c>
      <c r="BL12" s="3">
        <f t="shared" ref="BL12:BS13" si="34">BL11</f>
        <v>15</v>
      </c>
      <c r="BM12" s="3">
        <f t="shared" si="34"/>
        <v>15</v>
      </c>
      <c r="BN12" s="3">
        <f t="shared" si="34"/>
        <v>20</v>
      </c>
      <c r="BO12" s="3">
        <f t="shared" si="34"/>
        <v>20</v>
      </c>
      <c r="BP12" s="3">
        <f t="shared" si="34"/>
        <v>20</v>
      </c>
      <c r="BQ12" s="3">
        <f t="shared" si="34"/>
        <v>20</v>
      </c>
      <c r="BR12" s="3">
        <f t="shared" si="34"/>
        <v>10</v>
      </c>
      <c r="BS12" s="3">
        <f t="shared" si="34"/>
        <v>0</v>
      </c>
      <c r="CE12" s="3" t="s">
        <v>421</v>
      </c>
      <c r="CF12" s="3">
        <v>1</v>
      </c>
      <c r="CG12" s="3" t="s">
        <v>355</v>
      </c>
      <c r="CI12" s="3">
        <f t="shared" si="2"/>
        <v>0</v>
      </c>
      <c r="CJ12" s="3">
        <f t="shared" si="3"/>
        <v>0</v>
      </c>
      <c r="CK12" s="3">
        <f t="shared" si="4"/>
        <v>0</v>
      </c>
      <c r="CL12" s="3">
        <f t="shared" si="5"/>
        <v>10</v>
      </c>
      <c r="CM12" s="3">
        <f t="shared" si="6"/>
        <v>15</v>
      </c>
      <c r="CN12" s="3">
        <f t="shared" si="7"/>
        <v>15</v>
      </c>
      <c r="CO12" s="3">
        <f t="shared" si="8"/>
        <v>20</v>
      </c>
      <c r="CP12" s="3">
        <f t="shared" si="9"/>
        <v>20</v>
      </c>
      <c r="CQ12" s="3">
        <f t="shared" si="10"/>
        <v>20</v>
      </c>
      <c r="CR12" s="3">
        <f t="shared" si="11"/>
        <v>20</v>
      </c>
      <c r="CS12" s="3">
        <f t="shared" si="12"/>
        <v>10</v>
      </c>
      <c r="CT12" s="3">
        <f t="shared" si="13"/>
        <v>0</v>
      </c>
      <c r="CU12" s="3">
        <f t="shared" si="14"/>
        <v>0</v>
      </c>
      <c r="CV12" s="3">
        <f t="shared" si="15"/>
        <v>0</v>
      </c>
      <c r="CW12" s="3">
        <f t="shared" si="16"/>
        <v>0</v>
      </c>
      <c r="CX12" s="3">
        <f t="shared" si="17"/>
        <v>0</v>
      </c>
      <c r="CY12" s="3">
        <f t="shared" si="18"/>
        <v>0</v>
      </c>
      <c r="CZ12" s="3">
        <f t="shared" si="19"/>
        <v>0</v>
      </c>
      <c r="DA12" s="3">
        <f t="shared" si="20"/>
        <v>0</v>
      </c>
      <c r="DB12" s="3">
        <f t="shared" si="21"/>
        <v>0</v>
      </c>
      <c r="DC12" s="3">
        <f t="shared" si="22"/>
        <v>0</v>
      </c>
      <c r="DD12" s="3">
        <f t="shared" si="23"/>
        <v>0</v>
      </c>
      <c r="DE12" s="3">
        <f t="shared" si="24"/>
        <v>0</v>
      </c>
    </row>
    <row r="13" spans="1:109" ht="39" thickBot="1" x14ac:dyDescent="0.25">
      <c r="I13" s="3" t="s">
        <v>1498</v>
      </c>
      <c r="J13" s="11" t="str">
        <f>VLOOKUP(J15,$B$16:$F$205,5,)</f>
        <v>ANTENNA UNIT SUB ASSY</v>
      </c>
      <c r="K13" s="12" t="str">
        <f t="shared" ref="K13:U13" si="35">VLOOKUP(K15,$B$16:$F$205,5,)</f>
        <v>SMR GROUP LEFT</v>
      </c>
      <c r="L13" s="12" t="str">
        <f t="shared" si="35"/>
        <v>RF ADAPTER F/ASSY</v>
      </c>
      <c r="M13" s="12" t="str">
        <f t="shared" si="35"/>
        <v>SMR CF W/BOOTLOADER</v>
      </c>
      <c r="N13" s="13" t="str">
        <f t="shared" si="35"/>
        <v>SMR GROUP RIGHT</v>
      </c>
      <c r="O13" s="13" t="str">
        <f t="shared" si="35"/>
        <v>RF ADAPTER F/ASSY</v>
      </c>
      <c r="P13" s="4" t="str">
        <f t="shared" si="35"/>
        <v>ANTENNA CONTROLLER FINAL ASSY</v>
      </c>
      <c r="Q13" s="4" t="str">
        <f t="shared" si="35"/>
        <v>PC ASSY ANT CNRL</v>
      </c>
      <c r="R13" s="4" t="str">
        <f t="shared" si="35"/>
        <v>LEFT TUNNEL ADAPTOR ASSY</v>
      </c>
      <c r="S13" s="4" t="str">
        <f t="shared" si="35"/>
        <v>RIGHT TUNNEL ADAPTOR ASSY</v>
      </c>
      <c r="T13" s="14" t="str">
        <f t="shared" si="35"/>
        <v>FAN UNIT (INCLUDES 6 FANS)</v>
      </c>
      <c r="U13" s="14" t="str">
        <f t="shared" si="35"/>
        <v>FAN HOUSE SUBASSY</v>
      </c>
      <c r="V13" s="5"/>
      <c r="AF13" s="29" t="s">
        <v>1495</v>
      </c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3" t="s">
        <v>580</v>
      </c>
      <c r="BE13" s="3">
        <v>1</v>
      </c>
      <c r="BF13" s="3" t="s">
        <v>356</v>
      </c>
      <c r="BK13" s="3">
        <f>BK12</f>
        <v>10</v>
      </c>
      <c r="BL13" s="3">
        <f t="shared" si="34"/>
        <v>15</v>
      </c>
      <c r="BM13" s="3">
        <v>20</v>
      </c>
      <c r="BN13" s="3">
        <f t="shared" si="34"/>
        <v>20</v>
      </c>
      <c r="BO13" s="3">
        <f t="shared" si="34"/>
        <v>20</v>
      </c>
      <c r="BP13" s="3">
        <f t="shared" si="34"/>
        <v>20</v>
      </c>
      <c r="BQ13" s="3">
        <f t="shared" si="34"/>
        <v>20</v>
      </c>
      <c r="BR13" s="3">
        <v>20</v>
      </c>
      <c r="BS13" s="3">
        <f t="shared" si="34"/>
        <v>0</v>
      </c>
      <c r="CE13" s="3" t="s">
        <v>580</v>
      </c>
      <c r="CF13" s="3">
        <v>1</v>
      </c>
      <c r="CG13" s="3" t="s">
        <v>356</v>
      </c>
      <c r="CI13" s="3">
        <f t="shared" si="2"/>
        <v>0</v>
      </c>
      <c r="CJ13" s="3">
        <f t="shared" si="3"/>
        <v>0</v>
      </c>
      <c r="CK13" s="3">
        <f t="shared" si="4"/>
        <v>0</v>
      </c>
      <c r="CL13" s="3">
        <f t="shared" si="5"/>
        <v>10</v>
      </c>
      <c r="CM13" s="3">
        <f t="shared" si="6"/>
        <v>15</v>
      </c>
      <c r="CN13" s="3">
        <f t="shared" si="7"/>
        <v>20</v>
      </c>
      <c r="CO13" s="3">
        <f t="shared" si="8"/>
        <v>20</v>
      </c>
      <c r="CP13" s="3">
        <f t="shared" si="9"/>
        <v>20</v>
      </c>
      <c r="CQ13" s="3">
        <f t="shared" si="10"/>
        <v>20</v>
      </c>
      <c r="CR13" s="3">
        <f t="shared" si="11"/>
        <v>20</v>
      </c>
      <c r="CS13" s="3">
        <f t="shared" si="12"/>
        <v>20</v>
      </c>
      <c r="CT13" s="3">
        <f t="shared" si="13"/>
        <v>0</v>
      </c>
      <c r="CU13" s="3">
        <f t="shared" si="14"/>
        <v>0</v>
      </c>
      <c r="CV13" s="3">
        <f t="shared" si="15"/>
        <v>0</v>
      </c>
      <c r="CW13" s="3">
        <f t="shared" si="16"/>
        <v>0</v>
      </c>
      <c r="CX13" s="3">
        <f t="shared" si="17"/>
        <v>0</v>
      </c>
      <c r="CY13" s="3">
        <f t="shared" si="18"/>
        <v>0</v>
      </c>
      <c r="CZ13" s="3">
        <f t="shared" si="19"/>
        <v>0</v>
      </c>
      <c r="DA13" s="3">
        <f t="shared" si="20"/>
        <v>0</v>
      </c>
      <c r="DB13" s="3">
        <f t="shared" si="21"/>
        <v>0</v>
      </c>
      <c r="DC13" s="3">
        <f t="shared" si="22"/>
        <v>0</v>
      </c>
      <c r="DD13" s="3">
        <f t="shared" si="23"/>
        <v>0</v>
      </c>
      <c r="DE13" s="3">
        <f t="shared" si="24"/>
        <v>0</v>
      </c>
    </row>
    <row r="14" spans="1:109" ht="13.5" thickBot="1" x14ac:dyDescent="0.25">
      <c r="I14" s="3" t="s">
        <v>1497</v>
      </c>
      <c r="J14" s="11">
        <f>VLOOKUP(J15,'[1]הזנת נתונים'!$K$2:$L$238,2,)</f>
        <v>0</v>
      </c>
      <c r="K14" s="12">
        <f>VLOOKUP(K15,'[1]הזנת נתונים'!$K$2:$L$238,2,)</f>
        <v>1</v>
      </c>
      <c r="L14" s="12">
        <f>VLOOKUP(L15,'[1]הזנת נתונים'!$K$2:$L$238,2,)</f>
        <v>2</v>
      </c>
      <c r="M14" s="12">
        <f>VLOOKUP(M15,'[1]הזנת נתונים'!$K$2:$L$238,2,)</f>
        <v>2</v>
      </c>
      <c r="N14" s="13">
        <f>VLOOKUP(N15,'[1]הזנת נתונים'!$K$2:$L$238,2,)</f>
        <v>1</v>
      </c>
      <c r="O14" s="13">
        <f>VLOOKUP(O15,'[1]הזנת נתונים'!$K$2:$L$238,2,)</f>
        <v>2</v>
      </c>
      <c r="P14" s="4">
        <f>VLOOKUP(P15,'[1]הזנת נתונים'!$K$2:$L$238,2,)</f>
        <v>1</v>
      </c>
      <c r="Q14" s="4">
        <f>VLOOKUP(Q15,'[1]הזנת נתונים'!$K$2:$L$238,2,)</f>
        <v>2</v>
      </c>
      <c r="R14" s="4">
        <f>VLOOKUP(R15,'[1]הזנת נתונים'!$K$2:$L$238,2,)</f>
        <v>1</v>
      </c>
      <c r="S14" s="4">
        <f>VLOOKUP(S15,'[1]הזנת נתונים'!$K$2:$L$238,2,)</f>
        <v>1</v>
      </c>
      <c r="T14" s="14">
        <f>VLOOKUP(T15,'[1]הזנת נתונים'!$K$2:$L$238,2,)</f>
        <v>1</v>
      </c>
      <c r="U14" s="14">
        <f>VLOOKUP(U15,'[1]הזנת נתונים'!$K$2:$L$238,2,)</f>
        <v>2</v>
      </c>
      <c r="V14" s="5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3" t="s">
        <v>385</v>
      </c>
      <c r="BE14" s="3">
        <v>2</v>
      </c>
      <c r="BF14" s="3" t="s">
        <v>357</v>
      </c>
      <c r="BJ14" s="3">
        <f>BK13</f>
        <v>10</v>
      </c>
      <c r="BK14" s="3">
        <f t="shared" ref="BK14:BT14" si="36">BL13</f>
        <v>15</v>
      </c>
      <c r="BL14" s="3">
        <f t="shared" si="36"/>
        <v>20</v>
      </c>
      <c r="BM14" s="3">
        <f t="shared" si="36"/>
        <v>20</v>
      </c>
      <c r="BN14" s="3">
        <f t="shared" si="36"/>
        <v>20</v>
      </c>
      <c r="BO14" s="3">
        <f t="shared" si="36"/>
        <v>20</v>
      </c>
      <c r="BP14" s="3">
        <f t="shared" si="36"/>
        <v>20</v>
      </c>
      <c r="BQ14" s="3">
        <f t="shared" si="36"/>
        <v>20</v>
      </c>
      <c r="BR14" s="3">
        <f t="shared" si="36"/>
        <v>0</v>
      </c>
      <c r="BS14" s="3">
        <f t="shared" si="36"/>
        <v>0</v>
      </c>
      <c r="BT14" s="3">
        <f t="shared" si="36"/>
        <v>0</v>
      </c>
      <c r="CE14" s="3" t="s">
        <v>385</v>
      </c>
      <c r="CF14" s="3">
        <v>2</v>
      </c>
      <c r="CG14" s="3" t="s">
        <v>357</v>
      </c>
      <c r="CI14" s="3">
        <f t="shared" si="2"/>
        <v>0</v>
      </c>
      <c r="CJ14" s="3">
        <f t="shared" si="3"/>
        <v>0</v>
      </c>
      <c r="CK14" s="3">
        <f t="shared" si="4"/>
        <v>10</v>
      </c>
      <c r="CL14" s="3">
        <f t="shared" si="5"/>
        <v>15</v>
      </c>
      <c r="CM14" s="3">
        <f t="shared" si="6"/>
        <v>20</v>
      </c>
      <c r="CN14" s="3">
        <f t="shared" si="7"/>
        <v>20</v>
      </c>
      <c r="CO14" s="3">
        <f t="shared" si="8"/>
        <v>20</v>
      </c>
      <c r="CP14" s="3">
        <f t="shared" si="9"/>
        <v>20</v>
      </c>
      <c r="CQ14" s="3">
        <f t="shared" si="10"/>
        <v>20</v>
      </c>
      <c r="CR14" s="3">
        <f t="shared" si="11"/>
        <v>20</v>
      </c>
      <c r="CS14" s="3">
        <f t="shared" si="12"/>
        <v>0</v>
      </c>
      <c r="CT14" s="3">
        <f t="shared" si="13"/>
        <v>0</v>
      </c>
      <c r="CU14" s="3">
        <f t="shared" si="14"/>
        <v>0</v>
      </c>
      <c r="CV14" s="3">
        <f t="shared" si="15"/>
        <v>0</v>
      </c>
      <c r="CW14" s="3">
        <f t="shared" si="16"/>
        <v>0</v>
      </c>
      <c r="CX14" s="3">
        <f t="shared" si="17"/>
        <v>0</v>
      </c>
      <c r="CY14" s="3">
        <f t="shared" si="18"/>
        <v>0</v>
      </c>
      <c r="CZ14" s="3">
        <f t="shared" si="19"/>
        <v>0</v>
      </c>
      <c r="DA14" s="3">
        <f t="shared" si="20"/>
        <v>0</v>
      </c>
      <c r="DB14" s="3">
        <f t="shared" si="21"/>
        <v>0</v>
      </c>
      <c r="DC14" s="3">
        <f t="shared" si="22"/>
        <v>0</v>
      </c>
      <c r="DD14" s="3">
        <f t="shared" si="23"/>
        <v>0</v>
      </c>
      <c r="DE14" s="3">
        <f t="shared" si="24"/>
        <v>0</v>
      </c>
    </row>
    <row r="15" spans="1:109" ht="30" customHeight="1" thickBot="1" x14ac:dyDescent="0.25">
      <c r="A15" s="6" t="s">
        <v>0</v>
      </c>
      <c r="B15" s="6" t="s">
        <v>1</v>
      </c>
      <c r="C15" s="6" t="s">
        <v>2</v>
      </c>
      <c r="D15" s="6" t="s">
        <v>3</v>
      </c>
      <c r="E15" s="6" t="s">
        <v>344</v>
      </c>
      <c r="F15" s="6" t="s">
        <v>4</v>
      </c>
      <c r="G15" s="6" t="s">
        <v>5</v>
      </c>
      <c r="H15" s="7" t="s">
        <v>345</v>
      </c>
      <c r="I15" s="6" t="s">
        <v>346</v>
      </c>
      <c r="J15" s="15" t="s">
        <v>347</v>
      </c>
      <c r="K15" s="12" t="s">
        <v>348</v>
      </c>
      <c r="L15" s="12" t="s">
        <v>349</v>
      </c>
      <c r="M15" s="12" t="s">
        <v>350</v>
      </c>
      <c r="N15" s="13" t="s">
        <v>351</v>
      </c>
      <c r="O15" s="13" t="s">
        <v>349</v>
      </c>
      <c r="P15" s="4" t="s">
        <v>352</v>
      </c>
      <c r="Q15" s="4" t="s">
        <v>353</v>
      </c>
      <c r="R15" s="4" t="s">
        <v>354</v>
      </c>
      <c r="S15" s="4" t="s">
        <v>355</v>
      </c>
      <c r="T15" s="14" t="s">
        <v>356</v>
      </c>
      <c r="U15" s="14" t="s">
        <v>357</v>
      </c>
      <c r="V15" s="4" t="s">
        <v>6</v>
      </c>
      <c r="W15" s="6" t="s">
        <v>358</v>
      </c>
      <c r="X15" s="6" t="s">
        <v>7</v>
      </c>
      <c r="Y15" s="1" t="s">
        <v>1500</v>
      </c>
      <c r="Z15" s="1" t="s">
        <v>359</v>
      </c>
      <c r="AA15" s="1" t="s">
        <v>9</v>
      </c>
      <c r="AB15" s="1" t="s">
        <v>10</v>
      </c>
      <c r="AC15" s="1" t="s">
        <v>11</v>
      </c>
      <c r="AD15" s="2" t="s">
        <v>12</v>
      </c>
      <c r="AE15" s="16" t="s">
        <v>1499</v>
      </c>
      <c r="AF15" s="31">
        <v>45658</v>
      </c>
      <c r="AG15" s="31">
        <v>45659</v>
      </c>
      <c r="AH15" s="31">
        <v>45660</v>
      </c>
      <c r="AI15" s="31">
        <v>45661</v>
      </c>
      <c r="AJ15" s="31">
        <v>45662</v>
      </c>
      <c r="AK15" s="31">
        <v>45663</v>
      </c>
      <c r="AL15" s="31">
        <v>45664</v>
      </c>
      <c r="AM15" s="31">
        <v>45665</v>
      </c>
      <c r="AN15" s="31">
        <v>45666</v>
      </c>
      <c r="AO15" s="31">
        <v>45667</v>
      </c>
      <c r="AP15" s="31">
        <v>45668</v>
      </c>
      <c r="AQ15" s="31">
        <v>45669</v>
      </c>
      <c r="AR15" s="31">
        <v>45670</v>
      </c>
      <c r="AS15" s="31">
        <v>45671</v>
      </c>
      <c r="AT15" s="31">
        <v>45672</v>
      </c>
      <c r="AU15" s="31">
        <v>45673</v>
      </c>
      <c r="AV15" s="31">
        <v>45674</v>
      </c>
      <c r="AW15" s="31">
        <v>45675</v>
      </c>
      <c r="AX15" s="31">
        <v>45676</v>
      </c>
      <c r="AY15" s="31">
        <v>45677</v>
      </c>
      <c r="AZ15" s="31">
        <v>45678</v>
      </c>
      <c r="BA15" s="31">
        <v>45679</v>
      </c>
      <c r="BB15" s="31">
        <v>45680</v>
      </c>
      <c r="BC15" s="31">
        <v>45681</v>
      </c>
      <c r="BD15" s="24" t="s">
        <v>1498</v>
      </c>
      <c r="BE15" s="24" t="s">
        <v>1497</v>
      </c>
      <c r="BF15" s="24" t="s">
        <v>346</v>
      </c>
      <c r="BG15" s="32">
        <v>45658</v>
      </c>
      <c r="BH15" s="32">
        <v>45689</v>
      </c>
      <c r="BI15" s="32">
        <v>45717</v>
      </c>
      <c r="BJ15" s="32">
        <v>45748</v>
      </c>
      <c r="BK15" s="32">
        <v>45778</v>
      </c>
      <c r="BL15" s="32">
        <v>45809</v>
      </c>
      <c r="BM15" s="32">
        <v>45839</v>
      </c>
      <c r="BN15" s="32">
        <v>45870</v>
      </c>
      <c r="BO15" s="32">
        <v>45901</v>
      </c>
      <c r="BP15" s="32">
        <v>45931</v>
      </c>
      <c r="BQ15" s="32">
        <v>45962</v>
      </c>
      <c r="BR15" s="32">
        <v>45992</v>
      </c>
      <c r="BS15" s="32">
        <v>46023</v>
      </c>
      <c r="BT15" s="32">
        <v>46054</v>
      </c>
      <c r="BU15" s="32">
        <v>46082</v>
      </c>
      <c r="BV15" s="32">
        <v>46113</v>
      </c>
      <c r="BW15" s="32">
        <v>46143</v>
      </c>
      <c r="BX15" s="32">
        <v>46174</v>
      </c>
      <c r="BY15" s="32">
        <v>46204</v>
      </c>
      <c r="BZ15" s="32">
        <v>46235</v>
      </c>
      <c r="CA15" s="32">
        <v>46266</v>
      </c>
      <c r="CB15" s="32">
        <v>46296</v>
      </c>
      <c r="CC15" s="32">
        <v>46327</v>
      </c>
      <c r="CD15" s="32">
        <v>46357</v>
      </c>
      <c r="CE15" s="3" t="s">
        <v>1498</v>
      </c>
      <c r="CF15" s="3" t="s">
        <v>1497</v>
      </c>
      <c r="CG15" s="3" t="s">
        <v>346</v>
      </c>
      <c r="CH15" s="27">
        <v>45658</v>
      </c>
      <c r="CI15" s="27">
        <v>45689</v>
      </c>
      <c r="CJ15" s="27">
        <v>45717</v>
      </c>
      <c r="CK15" s="27">
        <v>45748</v>
      </c>
      <c r="CL15" s="27">
        <v>45778</v>
      </c>
      <c r="CM15" s="27">
        <v>45809</v>
      </c>
      <c r="CN15" s="27">
        <v>45839</v>
      </c>
      <c r="CO15" s="27">
        <v>45870</v>
      </c>
      <c r="CP15" s="27">
        <v>45901</v>
      </c>
      <c r="CQ15" s="27">
        <v>45931</v>
      </c>
      <c r="CR15" s="27">
        <v>45962</v>
      </c>
      <c r="CS15" s="27">
        <v>45992</v>
      </c>
      <c r="CT15" s="27">
        <v>46023</v>
      </c>
      <c r="CU15" s="27">
        <v>46054</v>
      </c>
      <c r="CV15" s="27">
        <v>46082</v>
      </c>
      <c r="CW15" s="27">
        <v>46113</v>
      </c>
      <c r="CX15" s="27">
        <v>46143</v>
      </c>
      <c r="CY15" s="27">
        <v>46174</v>
      </c>
      <c r="CZ15" s="27">
        <v>46204</v>
      </c>
      <c r="DA15" s="27">
        <v>46235</v>
      </c>
      <c r="DB15" s="27">
        <v>46266</v>
      </c>
      <c r="DC15" s="27">
        <v>46296</v>
      </c>
      <c r="DD15" s="27">
        <v>46327</v>
      </c>
      <c r="DE15" s="27">
        <v>46357</v>
      </c>
    </row>
    <row r="16" spans="1:109" ht="13.5" thickBot="1" x14ac:dyDescent="0.25">
      <c r="A16" s="3">
        <v>1</v>
      </c>
      <c r="B16" s="9" t="s">
        <v>347</v>
      </c>
      <c r="C16" s="3">
        <v>-1</v>
      </c>
      <c r="D16" s="3">
        <v>410790383</v>
      </c>
      <c r="F16" s="3" t="s">
        <v>360</v>
      </c>
      <c r="G16" s="3" t="s">
        <v>14</v>
      </c>
      <c r="H16" s="3">
        <v>1</v>
      </c>
      <c r="I16" s="3">
        <v>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f t="shared" ref="V16:V46" si="37">SUM(J16:U16)</f>
        <v>1</v>
      </c>
      <c r="W16" s="3">
        <f>SUMPRODUCT(J16:U16,$J$11:$U$11)</f>
        <v>130</v>
      </c>
      <c r="X16" s="8" t="s">
        <v>15</v>
      </c>
      <c r="Z16" s="3" t="s">
        <v>15</v>
      </c>
      <c r="BJ16" s="3">
        <f>SUM($AE16,$AF16:AH16)-SUM($CH16:CK16)</f>
        <v>0</v>
      </c>
      <c r="BK16" s="3">
        <f>SUM($AE16,$AF16:AI16)-SUM($CH16:CL16)</f>
        <v>0</v>
      </c>
      <c r="BL16" s="3">
        <f>SUM($AE16,$AF16:AJ16)-SUM($CH16:CM16)</f>
        <v>-10</v>
      </c>
      <c r="BM16" s="3">
        <f>SUM($AE16,$AF16:AK16)-SUM($CH16:CN16)</f>
        <v>-25</v>
      </c>
      <c r="BN16" s="3">
        <f>SUM($AE16,$AF16:AL16)-SUM($CH16:CO16)</f>
        <v>-40</v>
      </c>
      <c r="BO16" s="3">
        <f>SUM($AE16,$AF16:AM16)-SUM($CH16:CP16)</f>
        <v>-60</v>
      </c>
      <c r="BP16" s="3">
        <f>SUM($AE16,$AF16:AN16)-SUM($CH16:CQ16)</f>
        <v>-80</v>
      </c>
      <c r="BQ16" s="3">
        <f>SUM($AE16,$AF16:AO16)-SUM($CH16:CR16)</f>
        <v>-100</v>
      </c>
      <c r="BR16" s="3">
        <f>SUM($AE16,$AF16:AP16)-SUM($CH16:CS16)</f>
        <v>-120</v>
      </c>
      <c r="BS16" s="3">
        <f>SUM($AE16,$AF16:AQ16)-SUM($CH16:CT16)</f>
        <v>-130</v>
      </c>
      <c r="BT16" s="3">
        <f>SUM($AE16,$AF16:AR16)-SUM($CH16:CU16)</f>
        <v>-130</v>
      </c>
      <c r="BU16" s="3">
        <f>SUM($AE16,$AF16:AS16)-SUM($CH16:CV16)</f>
        <v>-130</v>
      </c>
      <c r="BV16" s="3">
        <f>SUM($AE16,$AF16:AT16)-SUM($CH16:CW16)</f>
        <v>-130</v>
      </c>
      <c r="BW16" s="3">
        <f>SUM($AE16,$AF16:AU16)-SUM($CH16:CX16)</f>
        <v>-130</v>
      </c>
      <c r="BX16" s="3">
        <f>SUM($AE16,$AF16:AV16)-SUM($CH16:CY16)</f>
        <v>-130</v>
      </c>
      <c r="BY16" s="3">
        <f>SUM($AE16,$AF16:AW16)-SUM($CH16:CZ16)</f>
        <v>-130</v>
      </c>
      <c r="BZ16" s="3">
        <f>SUM($AE16,$AF16:AX16)-SUM($CH16:DA16)</f>
        <v>-130</v>
      </c>
      <c r="CA16" s="3">
        <f>SUM($AE16,$AF16:AY16)-SUM($CH16:DB16)</f>
        <v>-130</v>
      </c>
      <c r="CB16" s="3">
        <f>SUM($AE16,$AF16:AZ16)-SUM($CH16:DC16)</f>
        <v>-130</v>
      </c>
      <c r="CC16" s="3">
        <f>SUM($AE16,$AF16:BA16)-SUM($CH16:DD16)</f>
        <v>-130</v>
      </c>
      <c r="CI16" s="3">
        <f t="array" ref="CI16">SUMPRODUCT($J16:$U16,TRANSPOSE(CI$3:CI$14))</f>
        <v>0</v>
      </c>
      <c r="CJ16" s="3">
        <f t="array" ref="CJ16">SUMPRODUCT($J16:$U16,TRANSPOSE(CJ$3:CJ$14))</f>
        <v>0</v>
      </c>
      <c r="CK16" s="3">
        <f t="array" ref="CK16">SUMPRODUCT($J16:$U16,TRANSPOSE(CK$3:CK$14))</f>
        <v>0</v>
      </c>
      <c r="CL16" s="3">
        <f t="array" ref="CL16">SUMPRODUCT($J16:$U16,TRANSPOSE(CL$3:CL$14))</f>
        <v>0</v>
      </c>
      <c r="CM16" s="3">
        <f t="array" ref="CM16">SUMPRODUCT($J16:$U16,TRANSPOSE(CM$3:CM$14))</f>
        <v>10</v>
      </c>
      <c r="CN16" s="3">
        <f t="array" ref="CN16">SUMPRODUCT($J16:$U16,TRANSPOSE(CN$3:CN$14))</f>
        <v>15</v>
      </c>
      <c r="CO16" s="3">
        <f t="array" ref="CO16">SUMPRODUCT($J16:$U16,TRANSPOSE(CO$3:CO$14))</f>
        <v>15</v>
      </c>
      <c r="CP16" s="3">
        <f t="array" ref="CP16">SUMPRODUCT($J16:$U16,TRANSPOSE(CP$3:CP$14))</f>
        <v>20</v>
      </c>
      <c r="CQ16" s="3">
        <f t="array" ref="CQ16">SUMPRODUCT($J16:$U16,TRANSPOSE(CQ$3:CQ$14))</f>
        <v>20</v>
      </c>
      <c r="CR16" s="3">
        <f t="array" ref="CR16">SUMPRODUCT($J16:$U16,TRANSPOSE(CR$3:CR$14))</f>
        <v>20</v>
      </c>
      <c r="CS16" s="3">
        <f t="array" ref="CS16">SUMPRODUCT($J16:$U16,TRANSPOSE(CS$3:CS$14))</f>
        <v>20</v>
      </c>
      <c r="CT16" s="3">
        <f t="array" ref="CT16">SUMPRODUCT($J16:$U16,TRANSPOSE(CT$3:CT$14))</f>
        <v>10</v>
      </c>
      <c r="CU16" s="3">
        <f t="array" ref="CU16">SUMPRODUCT($J16:$U16,TRANSPOSE(CU$3:CU$14))</f>
        <v>0</v>
      </c>
      <c r="CV16" s="3">
        <f t="array" ref="CV16">SUMPRODUCT($J16:$U16,TRANSPOSE(CV$3:CV$14))</f>
        <v>0</v>
      </c>
      <c r="CW16" s="3">
        <f t="array" ref="CW16">SUMPRODUCT($J16:$U16,TRANSPOSE(CW$3:CW$14))</f>
        <v>0</v>
      </c>
      <c r="CX16" s="3">
        <f t="array" ref="CX16">SUMPRODUCT($J16:$U16,TRANSPOSE(CX$3:CX$14))</f>
        <v>0</v>
      </c>
      <c r="CY16" s="3">
        <f t="array" ref="CY16">SUMPRODUCT($J16:$U16,TRANSPOSE(CY$3:CY$14))</f>
        <v>0</v>
      </c>
      <c r="CZ16" s="3">
        <f t="array" ref="CZ16">SUMPRODUCT($J16:$U16,TRANSPOSE(CZ$3:CZ$14))</f>
        <v>0</v>
      </c>
      <c r="DA16" s="3">
        <f t="array" ref="DA16">SUMPRODUCT($J16:$U16,TRANSPOSE(DA$3:DA$14))</f>
        <v>0</v>
      </c>
      <c r="DB16" s="3">
        <f t="array" ref="DB16">SUMPRODUCT($J16:$U16,TRANSPOSE(DB$3:DB$14))</f>
        <v>0</v>
      </c>
      <c r="DC16" s="3">
        <f t="array" ref="DC16">SUMPRODUCT($J16:$U16,TRANSPOSE(DC$3:DC$14))</f>
        <v>0</v>
      </c>
      <c r="DD16" s="3">
        <f t="array" ref="DD16">SUMPRODUCT($J16:$U16,TRANSPOSE(DD$3:DD$14))</f>
        <v>0</v>
      </c>
      <c r="DE16" s="3">
        <f t="array" ref="DE16">SUMPRODUCT($J16:$U16,TRANSPOSE(DE$3:DE$14))</f>
        <v>0</v>
      </c>
    </row>
    <row r="17" spans="1:109" ht="13.5" thickBot="1" x14ac:dyDescent="0.25">
      <c r="A17" s="3">
        <v>29</v>
      </c>
      <c r="B17" s="9" t="s">
        <v>361</v>
      </c>
      <c r="C17" s="3" t="s">
        <v>13</v>
      </c>
      <c r="D17" s="3">
        <v>421116904</v>
      </c>
      <c r="F17" s="3" t="s">
        <v>362</v>
      </c>
      <c r="G17" s="3" t="s">
        <v>14</v>
      </c>
      <c r="H17" s="3">
        <v>1</v>
      </c>
      <c r="I17" s="3">
        <v>4</v>
      </c>
      <c r="J17" s="3">
        <v>0</v>
      </c>
      <c r="K17" s="3">
        <v>2</v>
      </c>
      <c r="L17" s="3">
        <v>0</v>
      </c>
      <c r="M17" s="3">
        <v>0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f t="shared" si="37"/>
        <v>4</v>
      </c>
      <c r="W17" s="3">
        <f t="shared" ref="W17:W80" si="38">SUMPRODUCT(J17:U17,$J$11:$U$11)</f>
        <v>520</v>
      </c>
      <c r="X17" s="8" t="s">
        <v>363</v>
      </c>
      <c r="Y17" s="3">
        <v>29.7</v>
      </c>
      <c r="Z17" s="3" t="s">
        <v>364</v>
      </c>
      <c r="AA17" s="3" t="s">
        <v>365</v>
      </c>
      <c r="AB17" s="3" t="s">
        <v>366</v>
      </c>
      <c r="AC17" s="3" t="s">
        <v>367</v>
      </c>
      <c r="BJ17" s="3">
        <f>SUM($AE17,$AF17:AH17)-SUM($CH17:CK17)</f>
        <v>0</v>
      </c>
      <c r="BK17" s="3">
        <f>SUM($AE17,$AF17:AI17)-SUM($CH17:CL17)</f>
        <v>-40</v>
      </c>
      <c r="BL17" s="3">
        <f>SUM($AE17,$AF17:AJ17)-SUM($CH17:CM17)</f>
        <v>-100</v>
      </c>
      <c r="BM17" s="3">
        <f>SUM($AE17,$AF17:AK17)-SUM($CH17:CN17)</f>
        <v>-160</v>
      </c>
      <c r="BN17" s="3">
        <f>SUM($AE17,$AF17:AL17)-SUM($CH17:CO17)</f>
        <v>-240</v>
      </c>
      <c r="BO17" s="3">
        <f>SUM($AE17,$AF17:AM17)-SUM($CH17:CP17)</f>
        <v>-320</v>
      </c>
      <c r="BP17" s="3">
        <f>SUM($AE17,$AF17:AN17)-SUM($CH17:CQ17)</f>
        <v>-400</v>
      </c>
      <c r="BQ17" s="3">
        <f>SUM($AE17,$AF17:AO17)-SUM($CH17:CR17)</f>
        <v>-480</v>
      </c>
      <c r="BR17" s="3">
        <f>SUM($AE17,$AF17:AP17)-SUM($CH17:CS17)</f>
        <v>-520</v>
      </c>
      <c r="BS17" s="3">
        <f>SUM($AE17,$AF17:AQ17)-SUM($CH17:CT17)</f>
        <v>-520</v>
      </c>
      <c r="BT17" s="3">
        <f>SUM($AE17,$AF17:AR17)-SUM($CH17:CU17)</f>
        <v>-520</v>
      </c>
      <c r="BU17" s="3">
        <f>SUM($AE17,$AF17:AS17)-SUM($CH17:CV17)</f>
        <v>-520</v>
      </c>
      <c r="BV17" s="3">
        <f>SUM($AE17,$AF17:AT17)-SUM($CH17:CW17)</f>
        <v>-520</v>
      </c>
      <c r="BW17" s="3">
        <f>SUM($AE17,$AF17:AU17)-SUM($CH17:CX17)</f>
        <v>-520</v>
      </c>
      <c r="BX17" s="3">
        <f>SUM($AE17,$AF17:AV17)-SUM($CH17:CY17)</f>
        <v>-520</v>
      </c>
      <c r="BY17" s="3">
        <f>SUM($AE17,$AF17:AW17)-SUM($CH17:CZ17)</f>
        <v>-520</v>
      </c>
      <c r="BZ17" s="3">
        <f>SUM($AE17,$AF17:AX17)-SUM($CH17:DA17)</f>
        <v>-520</v>
      </c>
      <c r="CA17" s="3">
        <f>SUM($AE17,$AF17:AY17)-SUM($CH17:DB17)</f>
        <v>-520</v>
      </c>
      <c r="CB17" s="3">
        <f>SUM($AE17,$AF17:AZ17)-SUM($CH17:DC17)</f>
        <v>-520</v>
      </c>
      <c r="CC17" s="3">
        <f>SUM($AE17,$AF17:BA17)-SUM($CH17:DD17)</f>
        <v>-520</v>
      </c>
      <c r="CI17" s="3">
        <f t="array" ref="CI17">SUMPRODUCT($J17:$U17,TRANSPOSE(CI$3:CI$14))</f>
        <v>0</v>
      </c>
      <c r="CJ17" s="3">
        <f t="array" ref="CJ17">SUMPRODUCT($J17:$U17,TRANSPOSE(CJ$3:CJ$14))</f>
        <v>0</v>
      </c>
      <c r="CK17" s="3">
        <f t="array" ref="CK17">SUMPRODUCT($J17:$U17,TRANSPOSE(CK$3:CK$14))</f>
        <v>0</v>
      </c>
      <c r="CL17" s="3">
        <f t="array" ref="CL17">SUMPRODUCT($J17:$U17,TRANSPOSE(CL$3:CL$14))</f>
        <v>40</v>
      </c>
      <c r="CM17" s="3">
        <f t="array" ref="CM17">SUMPRODUCT($J17:$U17,TRANSPOSE(CM$3:CM$14))</f>
        <v>60</v>
      </c>
      <c r="CN17" s="3">
        <f t="array" ref="CN17">SUMPRODUCT($J17:$U17,TRANSPOSE(CN$3:CN$14))</f>
        <v>60</v>
      </c>
      <c r="CO17" s="3">
        <f t="array" ref="CO17">SUMPRODUCT($J17:$U17,TRANSPOSE(CO$3:CO$14))</f>
        <v>80</v>
      </c>
      <c r="CP17" s="3">
        <f t="array" ref="CP17">SUMPRODUCT($J17:$U17,TRANSPOSE(CP$3:CP$14))</f>
        <v>80</v>
      </c>
      <c r="CQ17" s="3">
        <f t="array" ref="CQ17">SUMPRODUCT($J17:$U17,TRANSPOSE(CQ$3:CQ$14))</f>
        <v>80</v>
      </c>
      <c r="CR17" s="3">
        <f t="array" ref="CR17">SUMPRODUCT($J17:$U17,TRANSPOSE(CR$3:CR$14))</f>
        <v>80</v>
      </c>
      <c r="CS17" s="3">
        <f t="array" ref="CS17">SUMPRODUCT($J17:$U17,TRANSPOSE(CS$3:CS$14))</f>
        <v>40</v>
      </c>
      <c r="CT17" s="3">
        <f t="array" ref="CT17">SUMPRODUCT($J17:$U17,TRANSPOSE(CT$3:CT$14))</f>
        <v>0</v>
      </c>
      <c r="CU17" s="3">
        <f t="array" ref="CU17">SUMPRODUCT($J17:$U17,TRANSPOSE(CU$3:CU$14))</f>
        <v>0</v>
      </c>
      <c r="CV17" s="3">
        <f t="array" ref="CV17">SUMPRODUCT($J17:$U17,TRANSPOSE(CV$3:CV$14))</f>
        <v>0</v>
      </c>
      <c r="CW17" s="3">
        <f t="array" ref="CW17">SUMPRODUCT($J17:$U17,TRANSPOSE(CW$3:CW$14))</f>
        <v>0</v>
      </c>
      <c r="CX17" s="3">
        <f t="array" ref="CX17">SUMPRODUCT($J17:$U17,TRANSPOSE(CX$3:CX$14))</f>
        <v>0</v>
      </c>
      <c r="CY17" s="3">
        <f t="array" ref="CY17">SUMPRODUCT($J17:$U17,TRANSPOSE(CY$3:CY$14))</f>
        <v>0</v>
      </c>
      <c r="CZ17" s="3">
        <f t="array" ref="CZ17">SUMPRODUCT($J17:$U17,TRANSPOSE(CZ$3:CZ$14))</f>
        <v>0</v>
      </c>
      <c r="DA17" s="3">
        <f t="array" ref="DA17">SUMPRODUCT($J17:$U17,TRANSPOSE(DA$3:DA$14))</f>
        <v>0</v>
      </c>
      <c r="DB17" s="3">
        <f t="array" ref="DB17">SUMPRODUCT($J17:$U17,TRANSPOSE(DB$3:DB$14))</f>
        <v>0</v>
      </c>
      <c r="DC17" s="3">
        <f t="array" ref="DC17">SUMPRODUCT($J17:$U17,TRANSPOSE(DC$3:DC$14))</f>
        <v>0</v>
      </c>
      <c r="DD17" s="3">
        <f t="array" ref="DD17">SUMPRODUCT($J17:$U17,TRANSPOSE(DD$3:DD$14))</f>
        <v>0</v>
      </c>
      <c r="DE17" s="3">
        <f t="array" ref="DE17">SUMPRODUCT($J17:$U17,TRANSPOSE(DE$3:DE$14))</f>
        <v>0</v>
      </c>
    </row>
    <row r="18" spans="1:109" ht="13.5" thickBot="1" x14ac:dyDescent="0.25">
      <c r="A18" s="3">
        <v>30</v>
      </c>
      <c r="B18" s="9" t="s">
        <v>368</v>
      </c>
      <c r="C18" s="3" t="s">
        <v>13</v>
      </c>
      <c r="D18" s="3">
        <v>401556275</v>
      </c>
      <c r="F18" s="3" t="s">
        <v>369</v>
      </c>
      <c r="G18" s="3" t="s">
        <v>14</v>
      </c>
      <c r="H18" s="3">
        <v>2</v>
      </c>
      <c r="I18" s="3">
        <v>4</v>
      </c>
      <c r="J18" s="3">
        <v>0</v>
      </c>
      <c r="K18" s="3">
        <v>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f t="shared" si="37"/>
        <v>4</v>
      </c>
      <c r="W18" s="3">
        <f t="shared" si="38"/>
        <v>520</v>
      </c>
      <c r="X18" s="8" t="s">
        <v>363</v>
      </c>
      <c r="Y18" s="3">
        <v>3.04</v>
      </c>
      <c r="Z18" s="3" t="s">
        <v>44</v>
      </c>
      <c r="AA18" s="3" t="s">
        <v>45</v>
      </c>
      <c r="AB18" s="3" t="s">
        <v>46</v>
      </c>
      <c r="AC18" s="3" t="s">
        <v>47</v>
      </c>
      <c r="BJ18" s="3">
        <f>SUM($AE18,$AF18:AH18)-SUM($CH18:CK18)</f>
        <v>0</v>
      </c>
      <c r="BK18" s="3">
        <f>SUM($AE18,$AF18:AI18)-SUM($CH18:CL18)</f>
        <v>-40</v>
      </c>
      <c r="BL18" s="3">
        <f>SUM($AE18,$AF18:AJ18)-SUM($CH18:CM18)</f>
        <v>-100</v>
      </c>
      <c r="BM18" s="3">
        <f>SUM($AE18,$AF18:AK18)-SUM($CH18:CN18)</f>
        <v>-160</v>
      </c>
      <c r="BN18" s="3">
        <f>SUM($AE18,$AF18:AL18)-SUM($CH18:CO18)</f>
        <v>-240</v>
      </c>
      <c r="BO18" s="3">
        <f>SUM($AE18,$AF18:AM18)-SUM($CH18:CP18)</f>
        <v>-320</v>
      </c>
      <c r="BP18" s="3">
        <f>SUM($AE18,$AF18:AN18)-SUM($CH18:CQ18)</f>
        <v>-400</v>
      </c>
      <c r="BQ18" s="3">
        <f>SUM($AE18,$AF18:AO18)-SUM($CH18:CR18)</f>
        <v>-480</v>
      </c>
      <c r="BR18" s="3">
        <f>SUM($AE18,$AF18:AP18)-SUM($CH18:CS18)</f>
        <v>-520</v>
      </c>
      <c r="BS18" s="3">
        <f>SUM($AE18,$AF18:AQ18)-SUM($CH18:CT18)</f>
        <v>-520</v>
      </c>
      <c r="BT18" s="3">
        <f>SUM($AE18,$AF18:AR18)-SUM($CH18:CU18)</f>
        <v>-520</v>
      </c>
      <c r="BU18" s="3">
        <f>SUM($AE18,$AF18:AS18)-SUM($CH18:CV18)</f>
        <v>-520</v>
      </c>
      <c r="BV18" s="3">
        <f>SUM($AE18,$AF18:AT18)-SUM($CH18:CW18)</f>
        <v>-520</v>
      </c>
      <c r="BW18" s="3">
        <f>SUM($AE18,$AF18:AU18)-SUM($CH18:CX18)</f>
        <v>-520</v>
      </c>
      <c r="BX18" s="3">
        <f>SUM($AE18,$AF18:AV18)-SUM($CH18:CY18)</f>
        <v>-520</v>
      </c>
      <c r="BY18" s="3">
        <f>SUM($AE18,$AF18:AW18)-SUM($CH18:CZ18)</f>
        <v>-520</v>
      </c>
      <c r="BZ18" s="3">
        <f>SUM($AE18,$AF18:AX18)-SUM($CH18:DA18)</f>
        <v>-520</v>
      </c>
      <c r="CA18" s="3">
        <f>SUM($AE18,$AF18:AY18)-SUM($CH18:DB18)</f>
        <v>-520</v>
      </c>
      <c r="CB18" s="3">
        <f>SUM($AE18,$AF18:AZ18)-SUM($CH18:DC18)</f>
        <v>-520</v>
      </c>
      <c r="CC18" s="3">
        <f>SUM($AE18,$AF18:BA18)-SUM($CH18:DD18)</f>
        <v>-520</v>
      </c>
      <c r="CI18" s="3">
        <f t="array" ref="CI18">SUMPRODUCT($J18:$U18,TRANSPOSE(CI$3:CI$14))</f>
        <v>0</v>
      </c>
      <c r="CJ18" s="3">
        <f t="array" ref="CJ18">SUMPRODUCT($J18:$U18,TRANSPOSE(CJ$3:CJ$14))</f>
        <v>0</v>
      </c>
      <c r="CK18" s="3">
        <f t="array" ref="CK18">SUMPRODUCT($J18:$U18,TRANSPOSE(CK$3:CK$14))</f>
        <v>0</v>
      </c>
      <c r="CL18" s="3">
        <f t="array" ref="CL18">SUMPRODUCT($J18:$U18,TRANSPOSE(CL$3:CL$14))</f>
        <v>40</v>
      </c>
      <c r="CM18" s="3">
        <f t="array" ref="CM18">SUMPRODUCT($J18:$U18,TRANSPOSE(CM$3:CM$14))</f>
        <v>60</v>
      </c>
      <c r="CN18" s="3">
        <f t="array" ref="CN18">SUMPRODUCT($J18:$U18,TRANSPOSE(CN$3:CN$14))</f>
        <v>60</v>
      </c>
      <c r="CO18" s="3">
        <f t="array" ref="CO18">SUMPRODUCT($J18:$U18,TRANSPOSE(CO$3:CO$14))</f>
        <v>80</v>
      </c>
      <c r="CP18" s="3">
        <f t="array" ref="CP18">SUMPRODUCT($J18:$U18,TRANSPOSE(CP$3:CP$14))</f>
        <v>80</v>
      </c>
      <c r="CQ18" s="3">
        <f t="array" ref="CQ18">SUMPRODUCT($J18:$U18,TRANSPOSE(CQ$3:CQ$14))</f>
        <v>80</v>
      </c>
      <c r="CR18" s="3">
        <f t="array" ref="CR18">SUMPRODUCT($J18:$U18,TRANSPOSE(CR$3:CR$14))</f>
        <v>80</v>
      </c>
      <c r="CS18" s="3">
        <f t="array" ref="CS18">SUMPRODUCT($J18:$U18,TRANSPOSE(CS$3:CS$14))</f>
        <v>40</v>
      </c>
      <c r="CT18" s="3">
        <f t="array" ref="CT18">SUMPRODUCT($J18:$U18,TRANSPOSE(CT$3:CT$14))</f>
        <v>0</v>
      </c>
      <c r="CU18" s="3">
        <f t="array" ref="CU18">SUMPRODUCT($J18:$U18,TRANSPOSE(CU$3:CU$14))</f>
        <v>0</v>
      </c>
      <c r="CV18" s="3">
        <f t="array" ref="CV18">SUMPRODUCT($J18:$U18,TRANSPOSE(CV$3:CV$14))</f>
        <v>0</v>
      </c>
      <c r="CW18" s="3">
        <f t="array" ref="CW18">SUMPRODUCT($J18:$U18,TRANSPOSE(CW$3:CW$14))</f>
        <v>0</v>
      </c>
      <c r="CX18" s="3">
        <f t="array" ref="CX18">SUMPRODUCT($J18:$U18,TRANSPOSE(CX$3:CX$14))</f>
        <v>0</v>
      </c>
      <c r="CY18" s="3">
        <f t="array" ref="CY18">SUMPRODUCT($J18:$U18,TRANSPOSE(CY$3:CY$14))</f>
        <v>0</v>
      </c>
      <c r="CZ18" s="3">
        <f t="array" ref="CZ18">SUMPRODUCT($J18:$U18,TRANSPOSE(CZ$3:CZ$14))</f>
        <v>0</v>
      </c>
      <c r="DA18" s="3">
        <f t="array" ref="DA18">SUMPRODUCT($J18:$U18,TRANSPOSE(DA$3:DA$14))</f>
        <v>0</v>
      </c>
      <c r="DB18" s="3">
        <f t="array" ref="DB18">SUMPRODUCT($J18:$U18,TRANSPOSE(DB$3:DB$14))</f>
        <v>0</v>
      </c>
      <c r="DC18" s="3">
        <f t="array" ref="DC18">SUMPRODUCT($J18:$U18,TRANSPOSE(DC$3:DC$14))</f>
        <v>0</v>
      </c>
      <c r="DD18" s="3">
        <f t="array" ref="DD18">SUMPRODUCT($J18:$U18,TRANSPOSE(DD$3:DD$14))</f>
        <v>0</v>
      </c>
      <c r="DE18" s="3">
        <f t="array" ref="DE18">SUMPRODUCT($J18:$U18,TRANSPOSE(DE$3:DE$14))</f>
        <v>0</v>
      </c>
    </row>
    <row r="19" spans="1:109" ht="13.5" thickBot="1" x14ac:dyDescent="0.25">
      <c r="A19" s="3">
        <v>33</v>
      </c>
      <c r="B19" s="9" t="s">
        <v>370</v>
      </c>
      <c r="C19" s="3" t="s">
        <v>13</v>
      </c>
      <c r="D19" s="16">
        <v>400955927</v>
      </c>
      <c r="F19" s="3" t="s">
        <v>371</v>
      </c>
      <c r="G19" s="3" t="s">
        <v>14</v>
      </c>
      <c r="H19" s="3">
        <v>1</v>
      </c>
      <c r="I19" s="3">
        <v>1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f t="shared" si="37"/>
        <v>1</v>
      </c>
      <c r="W19" s="3">
        <f t="shared" si="38"/>
        <v>130</v>
      </c>
      <c r="X19" s="8" t="s">
        <v>363</v>
      </c>
      <c r="Y19" s="19">
        <v>32</v>
      </c>
      <c r="Z19" s="3" t="s">
        <v>55</v>
      </c>
      <c r="AA19" s="3" t="s">
        <v>56</v>
      </c>
      <c r="AB19" s="3">
        <v>91.973118825300006</v>
      </c>
      <c r="AC19" s="3" t="s">
        <v>57</v>
      </c>
      <c r="BJ19" s="3">
        <f>SUM($AE19,$AF19:AH19)-SUM($CH19:CK19)</f>
        <v>0</v>
      </c>
      <c r="BK19" s="3">
        <f>SUM($AE19,$AF19:AI19)-SUM($CH19:CL19)</f>
        <v>-10</v>
      </c>
      <c r="BL19" s="3">
        <f>SUM($AE19,$AF19:AJ19)-SUM($CH19:CM19)</f>
        <v>-25</v>
      </c>
      <c r="BM19" s="3">
        <f>SUM($AE19,$AF19:AK19)-SUM($CH19:CN19)</f>
        <v>-40</v>
      </c>
      <c r="BN19" s="3">
        <f>SUM($AE19,$AF19:AL19)-SUM($CH19:CO19)</f>
        <v>-60</v>
      </c>
      <c r="BO19" s="3">
        <f>SUM($AE19,$AF19:AM19)-SUM($CH19:CP19)</f>
        <v>-80</v>
      </c>
      <c r="BP19" s="3">
        <f>SUM($AE19,$AF19:AN19)-SUM($CH19:CQ19)</f>
        <v>-100</v>
      </c>
      <c r="BQ19" s="3">
        <f>SUM($AE19,$AF19:AO19)-SUM($CH19:CR19)</f>
        <v>-120</v>
      </c>
      <c r="BR19" s="3">
        <f>SUM($AE19,$AF19:AP19)-SUM($CH19:CS19)</f>
        <v>-130</v>
      </c>
      <c r="BS19" s="3">
        <f>SUM($AE19,$AF19:AQ19)-SUM($CH19:CT19)</f>
        <v>-130</v>
      </c>
      <c r="BT19" s="3">
        <f>SUM($AE19,$AF19:AR19)-SUM($CH19:CU19)</f>
        <v>-130</v>
      </c>
      <c r="BU19" s="3">
        <f>SUM($AE19,$AF19:AS19)-SUM($CH19:CV19)</f>
        <v>-130</v>
      </c>
      <c r="BV19" s="3">
        <f>SUM($AE19,$AF19:AT19)-SUM($CH19:CW19)</f>
        <v>-130</v>
      </c>
      <c r="BW19" s="3">
        <f>SUM($AE19,$AF19:AU19)-SUM($CH19:CX19)</f>
        <v>-130</v>
      </c>
      <c r="BX19" s="3">
        <f>SUM($AE19,$AF19:AV19)-SUM($CH19:CY19)</f>
        <v>-130</v>
      </c>
      <c r="BY19" s="3">
        <f>SUM($AE19,$AF19:AW19)-SUM($CH19:CZ19)</f>
        <v>-130</v>
      </c>
      <c r="BZ19" s="3">
        <f>SUM($AE19,$AF19:AX19)-SUM($CH19:DA19)</f>
        <v>-130</v>
      </c>
      <c r="CA19" s="3">
        <f>SUM($AE19,$AF19:AY19)-SUM($CH19:DB19)</f>
        <v>-130</v>
      </c>
      <c r="CB19" s="3">
        <f>SUM($AE19,$AF19:AZ19)-SUM($CH19:DC19)</f>
        <v>-130</v>
      </c>
      <c r="CC19" s="3">
        <f>SUM($AE19,$AF19:BA19)-SUM($CH19:DD19)</f>
        <v>-130</v>
      </c>
      <c r="CI19" s="3">
        <f t="array" ref="CI19">SUMPRODUCT($J19:$U19,TRANSPOSE(CI$3:CI$14))</f>
        <v>0</v>
      </c>
      <c r="CJ19" s="3">
        <f t="array" ref="CJ19">SUMPRODUCT($J19:$U19,TRANSPOSE(CJ$3:CJ$14))</f>
        <v>0</v>
      </c>
      <c r="CK19" s="3">
        <f t="array" ref="CK19">SUMPRODUCT($J19:$U19,TRANSPOSE(CK$3:CK$14))</f>
        <v>0</v>
      </c>
      <c r="CL19" s="3">
        <f t="array" ref="CL19">SUMPRODUCT($J19:$U19,TRANSPOSE(CL$3:CL$14))</f>
        <v>10</v>
      </c>
      <c r="CM19" s="3">
        <f t="array" ref="CM19">SUMPRODUCT($J19:$U19,TRANSPOSE(CM$3:CM$14))</f>
        <v>15</v>
      </c>
      <c r="CN19" s="3">
        <f t="array" ref="CN19">SUMPRODUCT($J19:$U19,TRANSPOSE(CN$3:CN$14))</f>
        <v>15</v>
      </c>
      <c r="CO19" s="3">
        <f t="array" ref="CO19">SUMPRODUCT($J19:$U19,TRANSPOSE(CO$3:CO$14))</f>
        <v>20</v>
      </c>
      <c r="CP19" s="3">
        <f t="array" ref="CP19">SUMPRODUCT($J19:$U19,TRANSPOSE(CP$3:CP$14))</f>
        <v>20</v>
      </c>
      <c r="CQ19" s="3">
        <f t="array" ref="CQ19">SUMPRODUCT($J19:$U19,TRANSPOSE(CQ$3:CQ$14))</f>
        <v>20</v>
      </c>
      <c r="CR19" s="3">
        <f t="array" ref="CR19">SUMPRODUCT($J19:$U19,TRANSPOSE(CR$3:CR$14))</f>
        <v>20</v>
      </c>
      <c r="CS19" s="3">
        <f t="array" ref="CS19">SUMPRODUCT($J19:$U19,TRANSPOSE(CS$3:CS$14))</f>
        <v>10</v>
      </c>
      <c r="CT19" s="3">
        <f t="array" ref="CT19">SUMPRODUCT($J19:$U19,TRANSPOSE(CT$3:CT$14))</f>
        <v>0</v>
      </c>
      <c r="CU19" s="3">
        <f t="array" ref="CU19">SUMPRODUCT($J19:$U19,TRANSPOSE(CU$3:CU$14))</f>
        <v>0</v>
      </c>
      <c r="CV19" s="3">
        <f t="array" ref="CV19">SUMPRODUCT($J19:$U19,TRANSPOSE(CV$3:CV$14))</f>
        <v>0</v>
      </c>
      <c r="CW19" s="3">
        <f t="array" ref="CW19">SUMPRODUCT($J19:$U19,TRANSPOSE(CW$3:CW$14))</f>
        <v>0</v>
      </c>
      <c r="CX19" s="3">
        <f t="array" ref="CX19">SUMPRODUCT($J19:$U19,TRANSPOSE(CX$3:CX$14))</f>
        <v>0</v>
      </c>
      <c r="CY19" s="3">
        <f t="array" ref="CY19">SUMPRODUCT($J19:$U19,TRANSPOSE(CY$3:CY$14))</f>
        <v>0</v>
      </c>
      <c r="CZ19" s="3">
        <f t="array" ref="CZ19">SUMPRODUCT($J19:$U19,TRANSPOSE(CZ$3:CZ$14))</f>
        <v>0</v>
      </c>
      <c r="DA19" s="3">
        <f t="array" ref="DA19">SUMPRODUCT($J19:$U19,TRANSPOSE(DA$3:DA$14))</f>
        <v>0</v>
      </c>
      <c r="DB19" s="3">
        <f t="array" ref="DB19">SUMPRODUCT($J19:$U19,TRANSPOSE(DB$3:DB$14))</f>
        <v>0</v>
      </c>
      <c r="DC19" s="3">
        <f t="array" ref="DC19">SUMPRODUCT($J19:$U19,TRANSPOSE(DC$3:DC$14))</f>
        <v>0</v>
      </c>
      <c r="DD19" s="3">
        <f t="array" ref="DD19">SUMPRODUCT($J19:$U19,TRANSPOSE(DD$3:DD$14))</f>
        <v>0</v>
      </c>
      <c r="DE19" s="3">
        <f t="array" ref="DE19">SUMPRODUCT($J19:$U19,TRANSPOSE(DE$3:DE$14))</f>
        <v>0</v>
      </c>
    </row>
    <row r="20" spans="1:109" ht="13.5" thickBot="1" x14ac:dyDescent="0.25">
      <c r="A20" s="3">
        <v>36</v>
      </c>
      <c r="B20" s="9" t="s">
        <v>350</v>
      </c>
      <c r="C20" s="3" t="s">
        <v>13</v>
      </c>
      <c r="D20" s="3">
        <v>402731978</v>
      </c>
      <c r="F20" s="3" t="s">
        <v>372</v>
      </c>
      <c r="G20" s="3" t="s">
        <v>14</v>
      </c>
      <c r="H20" s="3">
        <v>1</v>
      </c>
      <c r="I20" s="3">
        <v>1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f t="shared" si="37"/>
        <v>1</v>
      </c>
      <c r="W20" s="3">
        <f t="shared" si="38"/>
        <v>130</v>
      </c>
      <c r="X20" s="8" t="s">
        <v>15</v>
      </c>
      <c r="Z20" s="3" t="s">
        <v>15</v>
      </c>
      <c r="BJ20" s="3">
        <f>SUM($AE20,$AF20:AH20)-SUM($CH20:CK20)</f>
        <v>0</v>
      </c>
      <c r="BK20" s="3">
        <f>SUM($AE20,$AF20:AI20)-SUM($CH20:CL20)</f>
        <v>-10</v>
      </c>
      <c r="BL20" s="3">
        <f>SUM($AE20,$AF20:AJ20)-SUM($CH20:CM20)</f>
        <v>-25</v>
      </c>
      <c r="BM20" s="3">
        <f>SUM($AE20,$AF20:AK20)-SUM($CH20:CN20)</f>
        <v>-40</v>
      </c>
      <c r="BN20" s="3">
        <f>SUM($AE20,$AF20:AL20)-SUM($CH20:CO20)</f>
        <v>-60</v>
      </c>
      <c r="BO20" s="3">
        <f>SUM($AE20,$AF20:AM20)-SUM($CH20:CP20)</f>
        <v>-80</v>
      </c>
      <c r="BP20" s="3">
        <f>SUM($AE20,$AF20:AN20)-SUM($CH20:CQ20)</f>
        <v>-100</v>
      </c>
      <c r="BQ20" s="3">
        <f>SUM($AE20,$AF20:AO20)-SUM($CH20:CR20)</f>
        <v>-120</v>
      </c>
      <c r="BR20" s="3">
        <f>SUM($AE20,$AF20:AP20)-SUM($CH20:CS20)</f>
        <v>-130</v>
      </c>
      <c r="BS20" s="3">
        <f>SUM($AE20,$AF20:AQ20)-SUM($CH20:CT20)</f>
        <v>-130</v>
      </c>
      <c r="BT20" s="3">
        <f>SUM($AE20,$AF20:AR20)-SUM($CH20:CU20)</f>
        <v>-130</v>
      </c>
      <c r="BU20" s="3">
        <f>SUM($AE20,$AF20:AS20)-SUM($CH20:CV20)</f>
        <v>-130</v>
      </c>
      <c r="BV20" s="3">
        <f>SUM($AE20,$AF20:AT20)-SUM($CH20:CW20)</f>
        <v>-130</v>
      </c>
      <c r="BW20" s="3">
        <f>SUM($AE20,$AF20:AU20)-SUM($CH20:CX20)</f>
        <v>-130</v>
      </c>
      <c r="BX20" s="3">
        <f>SUM($AE20,$AF20:AV20)-SUM($CH20:CY20)</f>
        <v>-130</v>
      </c>
      <c r="BY20" s="3">
        <f>SUM($AE20,$AF20:AW20)-SUM($CH20:CZ20)</f>
        <v>-130</v>
      </c>
      <c r="BZ20" s="3">
        <f>SUM($AE20,$AF20:AX20)-SUM($CH20:DA20)</f>
        <v>-130</v>
      </c>
      <c r="CA20" s="3">
        <f>SUM($AE20,$AF20:AY20)-SUM($CH20:DB20)</f>
        <v>-130</v>
      </c>
      <c r="CB20" s="3">
        <f>SUM($AE20,$AF20:AZ20)-SUM($CH20:DC20)</f>
        <v>-130</v>
      </c>
      <c r="CC20" s="3">
        <f>SUM($AE20,$AF20:BA20)-SUM($CH20:DD20)</f>
        <v>-130</v>
      </c>
      <c r="CI20" s="3">
        <f t="array" ref="CI20">SUMPRODUCT($J20:$U20,TRANSPOSE(CI$3:CI$14))</f>
        <v>0</v>
      </c>
      <c r="CJ20" s="3">
        <f t="array" ref="CJ20">SUMPRODUCT($J20:$U20,TRANSPOSE(CJ$3:CJ$14))</f>
        <v>0</v>
      </c>
      <c r="CK20" s="3">
        <f t="array" ref="CK20">SUMPRODUCT($J20:$U20,TRANSPOSE(CK$3:CK$14))</f>
        <v>0</v>
      </c>
      <c r="CL20" s="3">
        <f t="array" ref="CL20">SUMPRODUCT($J20:$U20,TRANSPOSE(CL$3:CL$14))</f>
        <v>10</v>
      </c>
      <c r="CM20" s="3">
        <f t="array" ref="CM20">SUMPRODUCT($J20:$U20,TRANSPOSE(CM$3:CM$14))</f>
        <v>15</v>
      </c>
      <c r="CN20" s="3">
        <f t="array" ref="CN20">SUMPRODUCT($J20:$U20,TRANSPOSE(CN$3:CN$14))</f>
        <v>15</v>
      </c>
      <c r="CO20" s="3">
        <f t="array" ref="CO20">SUMPRODUCT($J20:$U20,TRANSPOSE(CO$3:CO$14))</f>
        <v>20</v>
      </c>
      <c r="CP20" s="3">
        <f t="array" ref="CP20">SUMPRODUCT($J20:$U20,TRANSPOSE(CP$3:CP$14))</f>
        <v>20</v>
      </c>
      <c r="CQ20" s="3">
        <f t="array" ref="CQ20">SUMPRODUCT($J20:$U20,TRANSPOSE(CQ$3:CQ$14))</f>
        <v>20</v>
      </c>
      <c r="CR20" s="3">
        <f t="array" ref="CR20">SUMPRODUCT($J20:$U20,TRANSPOSE(CR$3:CR$14))</f>
        <v>20</v>
      </c>
      <c r="CS20" s="3">
        <f t="array" ref="CS20">SUMPRODUCT($J20:$U20,TRANSPOSE(CS$3:CS$14))</f>
        <v>10</v>
      </c>
      <c r="CT20" s="3">
        <f t="array" ref="CT20">SUMPRODUCT($J20:$U20,TRANSPOSE(CT$3:CT$14))</f>
        <v>0</v>
      </c>
      <c r="CU20" s="3">
        <f t="array" ref="CU20">SUMPRODUCT($J20:$U20,TRANSPOSE(CU$3:CU$14))</f>
        <v>0</v>
      </c>
      <c r="CV20" s="3">
        <f t="array" ref="CV20">SUMPRODUCT($J20:$U20,TRANSPOSE(CV$3:CV$14))</f>
        <v>0</v>
      </c>
      <c r="CW20" s="3">
        <f t="array" ref="CW20">SUMPRODUCT($J20:$U20,TRANSPOSE(CW$3:CW$14))</f>
        <v>0</v>
      </c>
      <c r="CX20" s="3">
        <f t="array" ref="CX20">SUMPRODUCT($J20:$U20,TRANSPOSE(CX$3:CX$14))</f>
        <v>0</v>
      </c>
      <c r="CY20" s="3">
        <f t="array" ref="CY20">SUMPRODUCT($J20:$U20,TRANSPOSE(CY$3:CY$14))</f>
        <v>0</v>
      </c>
      <c r="CZ20" s="3">
        <f t="array" ref="CZ20">SUMPRODUCT($J20:$U20,TRANSPOSE(CZ$3:CZ$14))</f>
        <v>0</v>
      </c>
      <c r="DA20" s="3">
        <f t="array" ref="DA20">SUMPRODUCT($J20:$U20,TRANSPOSE(DA$3:DA$14))</f>
        <v>0</v>
      </c>
      <c r="DB20" s="3">
        <f t="array" ref="DB20">SUMPRODUCT($J20:$U20,TRANSPOSE(DB$3:DB$14))</f>
        <v>0</v>
      </c>
      <c r="DC20" s="3">
        <f t="array" ref="DC20">SUMPRODUCT($J20:$U20,TRANSPOSE(DC$3:DC$14))</f>
        <v>0</v>
      </c>
      <c r="DD20" s="3">
        <f t="array" ref="DD20">SUMPRODUCT($J20:$U20,TRANSPOSE(DD$3:DD$14))</f>
        <v>0</v>
      </c>
      <c r="DE20" s="3">
        <f t="array" ref="DE20">SUMPRODUCT($J20:$U20,TRANSPOSE(DE$3:DE$14))</f>
        <v>0</v>
      </c>
    </row>
    <row r="21" spans="1:109" ht="13.5" thickBot="1" x14ac:dyDescent="0.25">
      <c r="A21" s="3">
        <v>37</v>
      </c>
      <c r="B21" s="9" t="s">
        <v>373</v>
      </c>
      <c r="C21" s="3" t="s">
        <v>374</v>
      </c>
      <c r="D21" s="3">
        <v>421766797</v>
      </c>
      <c r="F21" s="3" t="s">
        <v>375</v>
      </c>
      <c r="G21" s="3" t="s">
        <v>14</v>
      </c>
      <c r="H21" s="3">
        <v>1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f t="shared" si="37"/>
        <v>1</v>
      </c>
      <c r="W21" s="3">
        <f t="shared" si="38"/>
        <v>130</v>
      </c>
      <c r="X21" s="8" t="s">
        <v>363</v>
      </c>
      <c r="Y21" s="3">
        <v>708.02</v>
      </c>
      <c r="Z21" s="3" t="s">
        <v>60</v>
      </c>
      <c r="AA21" s="3" t="s">
        <v>61</v>
      </c>
      <c r="AB21" s="3" t="s">
        <v>62</v>
      </c>
      <c r="AC21" s="3" t="s">
        <v>63</v>
      </c>
      <c r="BJ21" s="3">
        <f>SUM($AE21,$AF21:AH21)-SUM($CH21:CK21)</f>
        <v>0</v>
      </c>
      <c r="BK21" s="3">
        <f>SUM($AE21,$AF21:AI21)-SUM($CH21:CL21)</f>
        <v>0</v>
      </c>
      <c r="BL21" s="3">
        <f>SUM($AE21,$AF21:AJ21)-SUM($CH21:CM21)</f>
        <v>-10</v>
      </c>
      <c r="BM21" s="3">
        <f>SUM($AE21,$AF21:AK21)-SUM($CH21:CN21)</f>
        <v>-25</v>
      </c>
      <c r="BN21" s="3">
        <f>SUM($AE21,$AF21:AL21)-SUM($CH21:CO21)</f>
        <v>-40</v>
      </c>
      <c r="BO21" s="3">
        <f>SUM($AE21,$AF21:AM21)-SUM($CH21:CP21)</f>
        <v>-60</v>
      </c>
      <c r="BP21" s="3">
        <f>SUM($AE21,$AF21:AN21)-SUM($CH21:CQ21)</f>
        <v>-80</v>
      </c>
      <c r="BQ21" s="3">
        <f>SUM($AE21,$AF21:AO21)-SUM($CH21:CR21)</f>
        <v>-100</v>
      </c>
      <c r="BR21" s="3">
        <f>SUM($AE21,$AF21:AP21)-SUM($CH21:CS21)</f>
        <v>-120</v>
      </c>
      <c r="BS21" s="3">
        <f>SUM($AE21,$AF21:AQ21)-SUM($CH21:CT21)</f>
        <v>-130</v>
      </c>
      <c r="BT21" s="3">
        <f>SUM($AE21,$AF21:AR21)-SUM($CH21:CU21)</f>
        <v>-130</v>
      </c>
      <c r="BU21" s="3">
        <f>SUM($AE21,$AF21:AS21)-SUM($CH21:CV21)</f>
        <v>-130</v>
      </c>
      <c r="BV21" s="3">
        <f>SUM($AE21,$AF21:AT21)-SUM($CH21:CW21)</f>
        <v>-130</v>
      </c>
      <c r="BW21" s="3">
        <f>SUM($AE21,$AF21:AU21)-SUM($CH21:CX21)</f>
        <v>-130</v>
      </c>
      <c r="BX21" s="3">
        <f>SUM($AE21,$AF21:AV21)-SUM($CH21:CY21)</f>
        <v>-130</v>
      </c>
      <c r="BY21" s="3">
        <f>SUM($AE21,$AF21:AW21)-SUM($CH21:CZ21)</f>
        <v>-130</v>
      </c>
      <c r="BZ21" s="3">
        <f>SUM($AE21,$AF21:AX21)-SUM($CH21:DA21)</f>
        <v>-130</v>
      </c>
      <c r="CA21" s="3">
        <f>SUM($AE21,$AF21:AY21)-SUM($CH21:DB21)</f>
        <v>-130</v>
      </c>
      <c r="CB21" s="3">
        <f>SUM($AE21,$AF21:AZ21)-SUM($CH21:DC21)</f>
        <v>-130</v>
      </c>
      <c r="CC21" s="3">
        <f>SUM($AE21,$AF21:BA21)-SUM($CH21:DD21)</f>
        <v>-130</v>
      </c>
      <c r="CI21" s="3">
        <f t="array" ref="CI21">SUMPRODUCT($J21:$U21,TRANSPOSE(CI$3:CI$14))</f>
        <v>0</v>
      </c>
      <c r="CJ21" s="3">
        <f t="array" ref="CJ21">SUMPRODUCT($J21:$U21,TRANSPOSE(CJ$3:CJ$14))</f>
        <v>0</v>
      </c>
      <c r="CK21" s="3">
        <f t="array" ref="CK21">SUMPRODUCT($J21:$U21,TRANSPOSE(CK$3:CK$14))</f>
        <v>0</v>
      </c>
      <c r="CL21" s="3">
        <f t="array" ref="CL21">SUMPRODUCT($J21:$U21,TRANSPOSE(CL$3:CL$14))</f>
        <v>0</v>
      </c>
      <c r="CM21" s="3">
        <f t="array" ref="CM21">SUMPRODUCT($J21:$U21,TRANSPOSE(CM$3:CM$14))</f>
        <v>10</v>
      </c>
      <c r="CN21" s="3">
        <f t="array" ref="CN21">SUMPRODUCT($J21:$U21,TRANSPOSE(CN$3:CN$14))</f>
        <v>15</v>
      </c>
      <c r="CO21" s="3">
        <f t="array" ref="CO21">SUMPRODUCT($J21:$U21,TRANSPOSE(CO$3:CO$14))</f>
        <v>15</v>
      </c>
      <c r="CP21" s="3">
        <f t="array" ref="CP21">SUMPRODUCT($J21:$U21,TRANSPOSE(CP$3:CP$14))</f>
        <v>20</v>
      </c>
      <c r="CQ21" s="3">
        <f t="array" ref="CQ21">SUMPRODUCT($J21:$U21,TRANSPOSE(CQ$3:CQ$14))</f>
        <v>20</v>
      </c>
      <c r="CR21" s="3">
        <f t="array" ref="CR21">SUMPRODUCT($J21:$U21,TRANSPOSE(CR$3:CR$14))</f>
        <v>20</v>
      </c>
      <c r="CS21" s="3">
        <f t="array" ref="CS21">SUMPRODUCT($J21:$U21,TRANSPOSE(CS$3:CS$14))</f>
        <v>20</v>
      </c>
      <c r="CT21" s="3">
        <f t="array" ref="CT21">SUMPRODUCT($J21:$U21,TRANSPOSE(CT$3:CT$14))</f>
        <v>10</v>
      </c>
      <c r="CU21" s="3">
        <f t="array" ref="CU21">SUMPRODUCT($J21:$U21,TRANSPOSE(CU$3:CU$14))</f>
        <v>0</v>
      </c>
      <c r="CV21" s="3">
        <f t="array" ref="CV21">SUMPRODUCT($J21:$U21,TRANSPOSE(CV$3:CV$14))</f>
        <v>0</v>
      </c>
      <c r="CW21" s="3">
        <f t="array" ref="CW21">SUMPRODUCT($J21:$U21,TRANSPOSE(CW$3:CW$14))</f>
        <v>0</v>
      </c>
      <c r="CX21" s="3">
        <f t="array" ref="CX21">SUMPRODUCT($J21:$U21,TRANSPOSE(CX$3:CX$14))</f>
        <v>0</v>
      </c>
      <c r="CY21" s="3">
        <f t="array" ref="CY21">SUMPRODUCT($J21:$U21,TRANSPOSE(CY$3:CY$14))</f>
        <v>0</v>
      </c>
      <c r="CZ21" s="3">
        <f t="array" ref="CZ21">SUMPRODUCT($J21:$U21,TRANSPOSE(CZ$3:CZ$14))</f>
        <v>0</v>
      </c>
      <c r="DA21" s="3">
        <f t="array" ref="DA21">SUMPRODUCT($J21:$U21,TRANSPOSE(DA$3:DA$14))</f>
        <v>0</v>
      </c>
      <c r="DB21" s="3">
        <f t="array" ref="DB21">SUMPRODUCT($J21:$U21,TRANSPOSE(DB$3:DB$14))</f>
        <v>0</v>
      </c>
      <c r="DC21" s="3">
        <f t="array" ref="DC21">SUMPRODUCT($J21:$U21,TRANSPOSE(DC$3:DC$14))</f>
        <v>0</v>
      </c>
      <c r="DD21" s="3">
        <f t="array" ref="DD21">SUMPRODUCT($J21:$U21,TRANSPOSE(DD$3:DD$14))</f>
        <v>0</v>
      </c>
      <c r="DE21" s="3">
        <f t="array" ref="DE21">SUMPRODUCT($J21:$U21,TRANSPOSE(DE$3:DE$14))</f>
        <v>0</v>
      </c>
    </row>
    <row r="22" spans="1:109" ht="13.5" thickBot="1" x14ac:dyDescent="0.25">
      <c r="A22" s="3">
        <v>38</v>
      </c>
      <c r="B22" s="9" t="s">
        <v>376</v>
      </c>
      <c r="C22" s="3" t="s">
        <v>37</v>
      </c>
      <c r="D22" s="3">
        <v>421845656</v>
      </c>
      <c r="F22" s="3" t="s">
        <v>377</v>
      </c>
      <c r="G22" s="3" t="s">
        <v>14</v>
      </c>
      <c r="H22" s="3">
        <v>1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f t="shared" si="37"/>
        <v>1</v>
      </c>
      <c r="W22" s="3">
        <f t="shared" si="38"/>
        <v>130</v>
      </c>
      <c r="X22" s="8" t="s">
        <v>363</v>
      </c>
      <c r="Y22" s="3">
        <v>103.33</v>
      </c>
      <c r="Z22" s="3" t="s">
        <v>60</v>
      </c>
      <c r="AA22" s="3" t="s">
        <v>61</v>
      </c>
      <c r="AB22" s="3" t="s">
        <v>62</v>
      </c>
      <c r="AC22" s="3" t="s">
        <v>63</v>
      </c>
      <c r="BJ22" s="3">
        <f>SUM($AE22,$AF22:AH22)-SUM($CH22:CK22)</f>
        <v>0</v>
      </c>
      <c r="BK22" s="3">
        <f>SUM($AE22,$AF22:AI22)-SUM($CH22:CL22)</f>
        <v>0</v>
      </c>
      <c r="BL22" s="3">
        <f>SUM($AE22,$AF22:AJ22)-SUM($CH22:CM22)</f>
        <v>-10</v>
      </c>
      <c r="BM22" s="3">
        <f>SUM($AE22,$AF22:AK22)-SUM($CH22:CN22)</f>
        <v>-25</v>
      </c>
      <c r="BN22" s="3">
        <f>SUM($AE22,$AF22:AL22)-SUM($CH22:CO22)</f>
        <v>-40</v>
      </c>
      <c r="BO22" s="3">
        <f>SUM($AE22,$AF22:AM22)-SUM($CH22:CP22)</f>
        <v>-60</v>
      </c>
      <c r="BP22" s="3">
        <f>SUM($AE22,$AF22:AN22)-SUM($CH22:CQ22)</f>
        <v>-80</v>
      </c>
      <c r="BQ22" s="3">
        <f>SUM($AE22,$AF22:AO22)-SUM($CH22:CR22)</f>
        <v>-100</v>
      </c>
      <c r="BR22" s="3">
        <f>SUM($AE22,$AF22:AP22)-SUM($CH22:CS22)</f>
        <v>-120</v>
      </c>
      <c r="BS22" s="3">
        <f>SUM($AE22,$AF22:AQ22)-SUM($CH22:CT22)</f>
        <v>-130</v>
      </c>
      <c r="BT22" s="3">
        <f>SUM($AE22,$AF22:AR22)-SUM($CH22:CU22)</f>
        <v>-130</v>
      </c>
      <c r="BU22" s="3">
        <f>SUM($AE22,$AF22:AS22)-SUM($CH22:CV22)</f>
        <v>-130</v>
      </c>
      <c r="BV22" s="3">
        <f>SUM($AE22,$AF22:AT22)-SUM($CH22:CW22)</f>
        <v>-130</v>
      </c>
      <c r="BW22" s="3">
        <f>SUM($AE22,$AF22:AU22)-SUM($CH22:CX22)</f>
        <v>-130</v>
      </c>
      <c r="BX22" s="3">
        <f>SUM($AE22,$AF22:AV22)-SUM($CH22:CY22)</f>
        <v>-130</v>
      </c>
      <c r="BY22" s="3">
        <f>SUM($AE22,$AF22:AW22)-SUM($CH22:CZ22)</f>
        <v>-130</v>
      </c>
      <c r="BZ22" s="3">
        <f>SUM($AE22,$AF22:AX22)-SUM($CH22:DA22)</f>
        <v>-130</v>
      </c>
      <c r="CA22" s="3">
        <f>SUM($AE22,$AF22:AY22)-SUM($CH22:DB22)</f>
        <v>-130</v>
      </c>
      <c r="CB22" s="3">
        <f>SUM($AE22,$AF22:AZ22)-SUM($CH22:DC22)</f>
        <v>-130</v>
      </c>
      <c r="CC22" s="3">
        <f>SUM($AE22,$AF22:BA22)-SUM($CH22:DD22)</f>
        <v>-130</v>
      </c>
      <c r="CI22" s="3">
        <f t="array" ref="CI22">SUMPRODUCT($J22:$U22,TRANSPOSE(CI$3:CI$14))</f>
        <v>0</v>
      </c>
      <c r="CJ22" s="3">
        <f t="array" ref="CJ22">SUMPRODUCT($J22:$U22,TRANSPOSE(CJ$3:CJ$14))</f>
        <v>0</v>
      </c>
      <c r="CK22" s="3">
        <f t="array" ref="CK22">SUMPRODUCT($J22:$U22,TRANSPOSE(CK$3:CK$14))</f>
        <v>0</v>
      </c>
      <c r="CL22" s="3">
        <f t="array" ref="CL22">SUMPRODUCT($J22:$U22,TRANSPOSE(CL$3:CL$14))</f>
        <v>0</v>
      </c>
      <c r="CM22" s="3">
        <f t="array" ref="CM22">SUMPRODUCT($J22:$U22,TRANSPOSE(CM$3:CM$14))</f>
        <v>10</v>
      </c>
      <c r="CN22" s="3">
        <f t="array" ref="CN22">SUMPRODUCT($J22:$U22,TRANSPOSE(CN$3:CN$14))</f>
        <v>15</v>
      </c>
      <c r="CO22" s="3">
        <f t="array" ref="CO22">SUMPRODUCT($J22:$U22,TRANSPOSE(CO$3:CO$14))</f>
        <v>15</v>
      </c>
      <c r="CP22" s="3">
        <f t="array" ref="CP22">SUMPRODUCT($J22:$U22,TRANSPOSE(CP$3:CP$14))</f>
        <v>20</v>
      </c>
      <c r="CQ22" s="3">
        <f t="array" ref="CQ22">SUMPRODUCT($J22:$U22,TRANSPOSE(CQ$3:CQ$14))</f>
        <v>20</v>
      </c>
      <c r="CR22" s="3">
        <f t="array" ref="CR22">SUMPRODUCT($J22:$U22,TRANSPOSE(CR$3:CR$14))</f>
        <v>20</v>
      </c>
      <c r="CS22" s="3">
        <f t="array" ref="CS22">SUMPRODUCT($J22:$U22,TRANSPOSE(CS$3:CS$14))</f>
        <v>20</v>
      </c>
      <c r="CT22" s="3">
        <f t="array" ref="CT22">SUMPRODUCT($J22:$U22,TRANSPOSE(CT$3:CT$14))</f>
        <v>10</v>
      </c>
      <c r="CU22" s="3">
        <f t="array" ref="CU22">SUMPRODUCT($J22:$U22,TRANSPOSE(CU$3:CU$14))</f>
        <v>0</v>
      </c>
      <c r="CV22" s="3">
        <f t="array" ref="CV22">SUMPRODUCT($J22:$U22,TRANSPOSE(CV$3:CV$14))</f>
        <v>0</v>
      </c>
      <c r="CW22" s="3">
        <f t="array" ref="CW22">SUMPRODUCT($J22:$U22,TRANSPOSE(CW$3:CW$14))</f>
        <v>0</v>
      </c>
      <c r="CX22" s="3">
        <f t="array" ref="CX22">SUMPRODUCT($J22:$U22,TRANSPOSE(CX$3:CX$14))</f>
        <v>0</v>
      </c>
      <c r="CY22" s="3">
        <f t="array" ref="CY22">SUMPRODUCT($J22:$U22,TRANSPOSE(CY$3:CY$14))</f>
        <v>0</v>
      </c>
      <c r="CZ22" s="3">
        <f t="array" ref="CZ22">SUMPRODUCT($J22:$U22,TRANSPOSE(CZ$3:CZ$14))</f>
        <v>0</v>
      </c>
      <c r="DA22" s="3">
        <f t="array" ref="DA22">SUMPRODUCT($J22:$U22,TRANSPOSE(DA$3:DA$14))</f>
        <v>0</v>
      </c>
      <c r="DB22" s="3">
        <f t="array" ref="DB22">SUMPRODUCT($J22:$U22,TRANSPOSE(DB$3:DB$14))</f>
        <v>0</v>
      </c>
      <c r="DC22" s="3">
        <f t="array" ref="DC22">SUMPRODUCT($J22:$U22,TRANSPOSE(DC$3:DC$14))</f>
        <v>0</v>
      </c>
      <c r="DD22" s="3">
        <f t="array" ref="DD22">SUMPRODUCT($J22:$U22,TRANSPOSE(DD$3:DD$14))</f>
        <v>0</v>
      </c>
      <c r="DE22" s="3">
        <f t="array" ref="DE22">SUMPRODUCT($J22:$U22,TRANSPOSE(DE$3:DE$14))</f>
        <v>0</v>
      </c>
    </row>
    <row r="23" spans="1:109" ht="13.5" thickBot="1" x14ac:dyDescent="0.25">
      <c r="A23" s="3">
        <v>39</v>
      </c>
      <c r="B23" s="9" t="s">
        <v>378</v>
      </c>
      <c r="C23" s="3" t="s">
        <v>13</v>
      </c>
      <c r="D23" s="3">
        <v>403795646</v>
      </c>
      <c r="F23" s="3" t="s">
        <v>379</v>
      </c>
      <c r="G23" s="3" t="s">
        <v>14</v>
      </c>
      <c r="H23" s="3">
        <v>1</v>
      </c>
      <c r="I23" s="3">
        <v>4</v>
      </c>
      <c r="J23" s="3">
        <v>0</v>
      </c>
      <c r="K23" s="3">
        <v>2</v>
      </c>
      <c r="L23" s="3">
        <v>0</v>
      </c>
      <c r="M23" s="3">
        <v>0</v>
      </c>
      <c r="N23" s="3">
        <v>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f t="shared" si="37"/>
        <v>4</v>
      </c>
      <c r="W23" s="3">
        <f t="shared" si="38"/>
        <v>520</v>
      </c>
      <c r="X23" s="8" t="s">
        <v>363</v>
      </c>
      <c r="Y23" s="3">
        <v>0.89</v>
      </c>
      <c r="Z23" s="3" t="s">
        <v>364</v>
      </c>
      <c r="AA23" s="3" t="s">
        <v>365</v>
      </c>
      <c r="AB23" s="3" t="s">
        <v>366</v>
      </c>
      <c r="AC23" s="3" t="s">
        <v>367</v>
      </c>
      <c r="BJ23" s="3">
        <f>SUM($AE23,$AF23:AH23)-SUM($CH23:CK23)</f>
        <v>0</v>
      </c>
      <c r="BK23" s="3">
        <f>SUM($AE23,$AF23:AI23)-SUM($CH23:CL23)</f>
        <v>-40</v>
      </c>
      <c r="BL23" s="3">
        <f>SUM($AE23,$AF23:AJ23)-SUM($CH23:CM23)</f>
        <v>-100</v>
      </c>
      <c r="BM23" s="3">
        <f>SUM($AE23,$AF23:AK23)-SUM($CH23:CN23)</f>
        <v>-160</v>
      </c>
      <c r="BN23" s="3">
        <f>SUM($AE23,$AF23:AL23)-SUM($CH23:CO23)</f>
        <v>-240</v>
      </c>
      <c r="BO23" s="3">
        <f>SUM($AE23,$AF23:AM23)-SUM($CH23:CP23)</f>
        <v>-320</v>
      </c>
      <c r="BP23" s="3">
        <f>SUM($AE23,$AF23:AN23)-SUM($CH23:CQ23)</f>
        <v>-400</v>
      </c>
      <c r="BQ23" s="3">
        <f>SUM($AE23,$AF23:AO23)-SUM($CH23:CR23)</f>
        <v>-480</v>
      </c>
      <c r="BR23" s="3">
        <f>SUM($AE23,$AF23:AP23)-SUM($CH23:CS23)</f>
        <v>-520</v>
      </c>
      <c r="BS23" s="3">
        <f>SUM($AE23,$AF23:AQ23)-SUM($CH23:CT23)</f>
        <v>-520</v>
      </c>
      <c r="BT23" s="3">
        <f>SUM($AE23,$AF23:AR23)-SUM($CH23:CU23)</f>
        <v>-520</v>
      </c>
      <c r="BU23" s="3">
        <f>SUM($AE23,$AF23:AS23)-SUM($CH23:CV23)</f>
        <v>-520</v>
      </c>
      <c r="BV23" s="3">
        <f>SUM($AE23,$AF23:AT23)-SUM($CH23:CW23)</f>
        <v>-520</v>
      </c>
      <c r="BW23" s="3">
        <f>SUM($AE23,$AF23:AU23)-SUM($CH23:CX23)</f>
        <v>-520</v>
      </c>
      <c r="BX23" s="3">
        <f>SUM($AE23,$AF23:AV23)-SUM($CH23:CY23)</f>
        <v>-520</v>
      </c>
      <c r="BY23" s="3">
        <f>SUM($AE23,$AF23:AW23)-SUM($CH23:CZ23)</f>
        <v>-520</v>
      </c>
      <c r="BZ23" s="3">
        <f>SUM($AE23,$AF23:AX23)-SUM($CH23:DA23)</f>
        <v>-520</v>
      </c>
      <c r="CA23" s="3">
        <f>SUM($AE23,$AF23:AY23)-SUM($CH23:DB23)</f>
        <v>-520</v>
      </c>
      <c r="CB23" s="3">
        <f>SUM($AE23,$AF23:AZ23)-SUM($CH23:DC23)</f>
        <v>-520</v>
      </c>
      <c r="CC23" s="3">
        <f>SUM($AE23,$AF23:BA23)-SUM($CH23:DD23)</f>
        <v>-520</v>
      </c>
      <c r="CI23" s="3">
        <f t="array" ref="CI23">SUMPRODUCT($J23:$U23,TRANSPOSE(CI$3:CI$14))</f>
        <v>0</v>
      </c>
      <c r="CJ23" s="3">
        <f t="array" ref="CJ23">SUMPRODUCT($J23:$U23,TRANSPOSE(CJ$3:CJ$14))</f>
        <v>0</v>
      </c>
      <c r="CK23" s="3">
        <f t="array" ref="CK23">SUMPRODUCT($J23:$U23,TRANSPOSE(CK$3:CK$14))</f>
        <v>0</v>
      </c>
      <c r="CL23" s="3">
        <f t="array" ref="CL23">SUMPRODUCT($J23:$U23,TRANSPOSE(CL$3:CL$14))</f>
        <v>40</v>
      </c>
      <c r="CM23" s="3">
        <f t="array" ref="CM23">SUMPRODUCT($J23:$U23,TRANSPOSE(CM$3:CM$14))</f>
        <v>60</v>
      </c>
      <c r="CN23" s="3">
        <f t="array" ref="CN23">SUMPRODUCT($J23:$U23,TRANSPOSE(CN$3:CN$14))</f>
        <v>60</v>
      </c>
      <c r="CO23" s="3">
        <f t="array" ref="CO23">SUMPRODUCT($J23:$U23,TRANSPOSE(CO$3:CO$14))</f>
        <v>80</v>
      </c>
      <c r="CP23" s="3">
        <f t="array" ref="CP23">SUMPRODUCT($J23:$U23,TRANSPOSE(CP$3:CP$14))</f>
        <v>80</v>
      </c>
      <c r="CQ23" s="3">
        <f t="array" ref="CQ23">SUMPRODUCT($J23:$U23,TRANSPOSE(CQ$3:CQ$14))</f>
        <v>80</v>
      </c>
      <c r="CR23" s="3">
        <f t="array" ref="CR23">SUMPRODUCT($J23:$U23,TRANSPOSE(CR$3:CR$14))</f>
        <v>80</v>
      </c>
      <c r="CS23" s="3">
        <f t="array" ref="CS23">SUMPRODUCT($J23:$U23,TRANSPOSE(CS$3:CS$14))</f>
        <v>40</v>
      </c>
      <c r="CT23" s="3">
        <f t="array" ref="CT23">SUMPRODUCT($J23:$U23,TRANSPOSE(CT$3:CT$14))</f>
        <v>0</v>
      </c>
      <c r="CU23" s="3">
        <f t="array" ref="CU23">SUMPRODUCT($J23:$U23,TRANSPOSE(CU$3:CU$14))</f>
        <v>0</v>
      </c>
      <c r="CV23" s="3">
        <f t="array" ref="CV23">SUMPRODUCT($J23:$U23,TRANSPOSE(CV$3:CV$14))</f>
        <v>0</v>
      </c>
      <c r="CW23" s="3">
        <f t="array" ref="CW23">SUMPRODUCT($J23:$U23,TRANSPOSE(CW$3:CW$14))</f>
        <v>0</v>
      </c>
      <c r="CX23" s="3">
        <f t="array" ref="CX23">SUMPRODUCT($J23:$U23,TRANSPOSE(CX$3:CX$14))</f>
        <v>0</v>
      </c>
      <c r="CY23" s="3">
        <f t="array" ref="CY23">SUMPRODUCT($J23:$U23,TRANSPOSE(CY$3:CY$14))</f>
        <v>0</v>
      </c>
      <c r="CZ23" s="3">
        <f t="array" ref="CZ23">SUMPRODUCT($J23:$U23,TRANSPOSE(CZ$3:CZ$14))</f>
        <v>0</v>
      </c>
      <c r="DA23" s="3">
        <f t="array" ref="DA23">SUMPRODUCT($J23:$U23,TRANSPOSE(DA$3:DA$14))</f>
        <v>0</v>
      </c>
      <c r="DB23" s="3">
        <f t="array" ref="DB23">SUMPRODUCT($J23:$U23,TRANSPOSE(DB$3:DB$14))</f>
        <v>0</v>
      </c>
      <c r="DC23" s="3">
        <f t="array" ref="DC23">SUMPRODUCT($J23:$U23,TRANSPOSE(DC$3:DC$14))</f>
        <v>0</v>
      </c>
      <c r="DD23" s="3">
        <f t="array" ref="DD23">SUMPRODUCT($J23:$U23,TRANSPOSE(DD$3:DD$14))</f>
        <v>0</v>
      </c>
      <c r="DE23" s="3">
        <f t="array" ref="DE23">SUMPRODUCT($J23:$U23,TRANSPOSE(DE$3:DE$14))</f>
        <v>0</v>
      </c>
    </row>
    <row r="24" spans="1:109" ht="13.5" thickBot="1" x14ac:dyDescent="0.25">
      <c r="A24" s="3">
        <v>40</v>
      </c>
      <c r="B24" s="9" t="s">
        <v>380</v>
      </c>
      <c r="C24" s="3" t="s">
        <v>13</v>
      </c>
      <c r="D24" s="3">
        <v>415204976</v>
      </c>
      <c r="F24" s="3" t="s">
        <v>381</v>
      </c>
      <c r="G24" s="3" t="s">
        <v>14</v>
      </c>
      <c r="H24" s="3">
        <v>1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24</v>
      </c>
      <c r="U24" s="3">
        <v>0</v>
      </c>
      <c r="V24" s="3">
        <f t="shared" si="37"/>
        <v>24</v>
      </c>
      <c r="W24" s="3">
        <f t="shared" si="38"/>
        <v>3480</v>
      </c>
      <c r="X24" s="8" t="s">
        <v>363</v>
      </c>
      <c r="Y24" s="3">
        <v>1.38</v>
      </c>
      <c r="Z24" s="3" t="s">
        <v>44</v>
      </c>
      <c r="AA24" s="3" t="s">
        <v>45</v>
      </c>
      <c r="AB24" s="3" t="s">
        <v>46</v>
      </c>
      <c r="AC24" s="3" t="s">
        <v>47</v>
      </c>
      <c r="BJ24" s="3">
        <f>SUM($AE24,$AF24:AH24)-SUM($CH24:CK24)</f>
        <v>0</v>
      </c>
      <c r="BK24" s="3">
        <f>SUM($AE24,$AF24:AI24)-SUM($CH24:CL24)</f>
        <v>-240</v>
      </c>
      <c r="BL24" s="3">
        <f>SUM($AE24,$AF24:AJ24)-SUM($CH24:CM24)</f>
        <v>-600</v>
      </c>
      <c r="BM24" s="3">
        <f>SUM($AE24,$AF24:AK24)-SUM($CH24:CN24)</f>
        <v>-1080</v>
      </c>
      <c r="BN24" s="3">
        <f>SUM($AE24,$AF24:AL24)-SUM($CH24:CO24)</f>
        <v>-1560</v>
      </c>
      <c r="BO24" s="3">
        <f>SUM($AE24,$AF24:AM24)-SUM($CH24:CP24)</f>
        <v>-2040</v>
      </c>
      <c r="BP24" s="3">
        <f>SUM($AE24,$AF24:AN24)-SUM($CH24:CQ24)</f>
        <v>-2520</v>
      </c>
      <c r="BQ24" s="3">
        <f>SUM($AE24,$AF24:AO24)-SUM($CH24:CR24)</f>
        <v>-3000</v>
      </c>
      <c r="BR24" s="3">
        <f>SUM($AE24,$AF24:AP24)-SUM($CH24:CS24)</f>
        <v>-3480</v>
      </c>
      <c r="BS24" s="3">
        <f>SUM($AE24,$AF24:AQ24)-SUM($CH24:CT24)</f>
        <v>-3480</v>
      </c>
      <c r="BT24" s="3">
        <f>SUM($AE24,$AF24:AR24)-SUM($CH24:CU24)</f>
        <v>-3480</v>
      </c>
      <c r="BU24" s="3">
        <f>SUM($AE24,$AF24:AS24)-SUM($CH24:CV24)</f>
        <v>-3480</v>
      </c>
      <c r="BV24" s="3">
        <f>SUM($AE24,$AF24:AT24)-SUM($CH24:CW24)</f>
        <v>-3480</v>
      </c>
      <c r="BW24" s="3">
        <f>SUM($AE24,$AF24:AU24)-SUM($CH24:CX24)</f>
        <v>-3480</v>
      </c>
      <c r="BX24" s="3">
        <f>SUM($AE24,$AF24:AV24)-SUM($CH24:CY24)</f>
        <v>-3480</v>
      </c>
      <c r="BY24" s="3">
        <f>SUM($AE24,$AF24:AW24)-SUM($CH24:CZ24)</f>
        <v>-3480</v>
      </c>
      <c r="BZ24" s="3">
        <f>SUM($AE24,$AF24:AX24)-SUM($CH24:DA24)</f>
        <v>-3480</v>
      </c>
      <c r="CA24" s="3">
        <f>SUM($AE24,$AF24:AY24)-SUM($CH24:DB24)</f>
        <v>-3480</v>
      </c>
      <c r="CB24" s="3">
        <f>SUM($AE24,$AF24:AZ24)-SUM($CH24:DC24)</f>
        <v>-3480</v>
      </c>
      <c r="CC24" s="3">
        <f>SUM($AE24,$AF24:BA24)-SUM($CH24:DD24)</f>
        <v>-3480</v>
      </c>
      <c r="CI24" s="3">
        <f t="array" ref="CI24">SUMPRODUCT($J24:$U24,TRANSPOSE(CI$3:CI$14))</f>
        <v>0</v>
      </c>
      <c r="CJ24" s="3">
        <f t="array" ref="CJ24">SUMPRODUCT($J24:$U24,TRANSPOSE(CJ$3:CJ$14))</f>
        <v>0</v>
      </c>
      <c r="CK24" s="3">
        <f t="array" ref="CK24">SUMPRODUCT($J24:$U24,TRANSPOSE(CK$3:CK$14))</f>
        <v>0</v>
      </c>
      <c r="CL24" s="3">
        <f t="array" ref="CL24">SUMPRODUCT($J24:$U24,TRANSPOSE(CL$3:CL$14))</f>
        <v>240</v>
      </c>
      <c r="CM24" s="3">
        <f t="array" ref="CM24">SUMPRODUCT($J24:$U24,TRANSPOSE(CM$3:CM$14))</f>
        <v>360</v>
      </c>
      <c r="CN24" s="3">
        <f t="array" ref="CN24">SUMPRODUCT($J24:$U24,TRANSPOSE(CN$3:CN$14))</f>
        <v>480</v>
      </c>
      <c r="CO24" s="3">
        <f t="array" ref="CO24">SUMPRODUCT($J24:$U24,TRANSPOSE(CO$3:CO$14))</f>
        <v>480</v>
      </c>
      <c r="CP24" s="3">
        <f t="array" ref="CP24">SUMPRODUCT($J24:$U24,TRANSPOSE(CP$3:CP$14))</f>
        <v>480</v>
      </c>
      <c r="CQ24" s="3">
        <f t="array" ref="CQ24">SUMPRODUCT($J24:$U24,TRANSPOSE(CQ$3:CQ$14))</f>
        <v>480</v>
      </c>
      <c r="CR24" s="3">
        <f t="array" ref="CR24">SUMPRODUCT($J24:$U24,TRANSPOSE(CR$3:CR$14))</f>
        <v>480</v>
      </c>
      <c r="CS24" s="3">
        <f t="array" ref="CS24">SUMPRODUCT($J24:$U24,TRANSPOSE(CS$3:CS$14))</f>
        <v>480</v>
      </c>
      <c r="CT24" s="3">
        <f t="array" ref="CT24">SUMPRODUCT($J24:$U24,TRANSPOSE(CT$3:CT$14))</f>
        <v>0</v>
      </c>
      <c r="CU24" s="3">
        <f t="array" ref="CU24">SUMPRODUCT($J24:$U24,TRANSPOSE(CU$3:CU$14))</f>
        <v>0</v>
      </c>
      <c r="CV24" s="3">
        <f t="array" ref="CV24">SUMPRODUCT($J24:$U24,TRANSPOSE(CV$3:CV$14))</f>
        <v>0</v>
      </c>
      <c r="CW24" s="3">
        <f t="array" ref="CW24">SUMPRODUCT($J24:$U24,TRANSPOSE(CW$3:CW$14))</f>
        <v>0</v>
      </c>
      <c r="CX24" s="3">
        <f t="array" ref="CX24">SUMPRODUCT($J24:$U24,TRANSPOSE(CX$3:CX$14))</f>
        <v>0</v>
      </c>
      <c r="CY24" s="3">
        <f t="array" ref="CY24">SUMPRODUCT($J24:$U24,TRANSPOSE(CY$3:CY$14))</f>
        <v>0</v>
      </c>
      <c r="CZ24" s="3">
        <f t="array" ref="CZ24">SUMPRODUCT($J24:$U24,TRANSPOSE(CZ$3:CZ$14))</f>
        <v>0</v>
      </c>
      <c r="DA24" s="3">
        <f t="array" ref="DA24">SUMPRODUCT($J24:$U24,TRANSPOSE(DA$3:DA$14))</f>
        <v>0</v>
      </c>
      <c r="DB24" s="3">
        <f t="array" ref="DB24">SUMPRODUCT($J24:$U24,TRANSPOSE(DB$3:DB$14))</f>
        <v>0</v>
      </c>
      <c r="DC24" s="3">
        <f t="array" ref="DC24">SUMPRODUCT($J24:$U24,TRANSPOSE(DC$3:DC$14))</f>
        <v>0</v>
      </c>
      <c r="DD24" s="3">
        <f t="array" ref="DD24">SUMPRODUCT($J24:$U24,TRANSPOSE(DD$3:DD$14))</f>
        <v>0</v>
      </c>
      <c r="DE24" s="3">
        <f t="array" ref="DE24">SUMPRODUCT($J24:$U24,TRANSPOSE(DE$3:DE$14))</f>
        <v>0</v>
      </c>
    </row>
    <row r="25" spans="1:109" ht="13.5" thickBot="1" x14ac:dyDescent="0.25">
      <c r="A25" s="3">
        <v>41</v>
      </c>
      <c r="B25" s="9" t="s">
        <v>382</v>
      </c>
      <c r="C25" s="3" t="s">
        <v>48</v>
      </c>
      <c r="D25" s="3">
        <v>412216022</v>
      </c>
      <c r="F25" s="3" t="s">
        <v>58</v>
      </c>
      <c r="G25" s="3" t="s">
        <v>14</v>
      </c>
      <c r="H25" s="3">
        <v>1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f t="shared" si="37"/>
        <v>1</v>
      </c>
      <c r="W25" s="3">
        <f t="shared" si="38"/>
        <v>130</v>
      </c>
      <c r="X25" s="8" t="s">
        <v>363</v>
      </c>
      <c r="Y25" s="3">
        <v>35</v>
      </c>
      <c r="Z25" s="3" t="s">
        <v>55</v>
      </c>
      <c r="AA25" s="3" t="s">
        <v>56</v>
      </c>
      <c r="AB25" s="3">
        <v>91.973118825300006</v>
      </c>
      <c r="AC25" s="3" t="s">
        <v>57</v>
      </c>
      <c r="BJ25" s="3">
        <f>SUM($AE25,$AF25:AH25)-SUM($CH25:CK25)</f>
        <v>0</v>
      </c>
      <c r="BK25" s="3">
        <f>SUM($AE25,$AF25:AI25)-SUM($CH25:CL25)</f>
        <v>0</v>
      </c>
      <c r="BL25" s="3">
        <f>SUM($AE25,$AF25:AJ25)-SUM($CH25:CM25)</f>
        <v>-10</v>
      </c>
      <c r="BM25" s="3">
        <f>SUM($AE25,$AF25:AK25)-SUM($CH25:CN25)</f>
        <v>-25</v>
      </c>
      <c r="BN25" s="3">
        <f>SUM($AE25,$AF25:AL25)-SUM($CH25:CO25)</f>
        <v>-40</v>
      </c>
      <c r="BO25" s="3">
        <f>SUM($AE25,$AF25:AM25)-SUM($CH25:CP25)</f>
        <v>-60</v>
      </c>
      <c r="BP25" s="3">
        <f>SUM($AE25,$AF25:AN25)-SUM($CH25:CQ25)</f>
        <v>-80</v>
      </c>
      <c r="BQ25" s="3">
        <f>SUM($AE25,$AF25:AO25)-SUM($CH25:CR25)</f>
        <v>-100</v>
      </c>
      <c r="BR25" s="3">
        <f>SUM($AE25,$AF25:AP25)-SUM($CH25:CS25)</f>
        <v>-120</v>
      </c>
      <c r="BS25" s="3">
        <f>SUM($AE25,$AF25:AQ25)-SUM($CH25:CT25)</f>
        <v>-130</v>
      </c>
      <c r="BT25" s="3">
        <f>SUM($AE25,$AF25:AR25)-SUM($CH25:CU25)</f>
        <v>-130</v>
      </c>
      <c r="BU25" s="3">
        <f>SUM($AE25,$AF25:AS25)-SUM($CH25:CV25)</f>
        <v>-130</v>
      </c>
      <c r="BV25" s="3">
        <f>SUM($AE25,$AF25:AT25)-SUM($CH25:CW25)</f>
        <v>-130</v>
      </c>
      <c r="BW25" s="3">
        <f>SUM($AE25,$AF25:AU25)-SUM($CH25:CX25)</f>
        <v>-130</v>
      </c>
      <c r="BX25" s="3">
        <f>SUM($AE25,$AF25:AV25)-SUM($CH25:CY25)</f>
        <v>-130</v>
      </c>
      <c r="BY25" s="3">
        <f>SUM($AE25,$AF25:AW25)-SUM($CH25:CZ25)</f>
        <v>-130</v>
      </c>
      <c r="BZ25" s="3">
        <f>SUM($AE25,$AF25:AX25)-SUM($CH25:DA25)</f>
        <v>-130</v>
      </c>
      <c r="CA25" s="3">
        <f>SUM($AE25,$AF25:AY25)-SUM($CH25:DB25)</f>
        <v>-130</v>
      </c>
      <c r="CB25" s="3">
        <f>SUM($AE25,$AF25:AZ25)-SUM($CH25:DC25)</f>
        <v>-130</v>
      </c>
      <c r="CC25" s="3">
        <f>SUM($AE25,$AF25:BA25)-SUM($CH25:DD25)</f>
        <v>-130</v>
      </c>
      <c r="CI25" s="3">
        <f t="array" ref="CI25">SUMPRODUCT($J25:$U25,TRANSPOSE(CI$3:CI$14))</f>
        <v>0</v>
      </c>
      <c r="CJ25" s="3">
        <f t="array" ref="CJ25">SUMPRODUCT($J25:$U25,TRANSPOSE(CJ$3:CJ$14))</f>
        <v>0</v>
      </c>
      <c r="CK25" s="3">
        <f t="array" ref="CK25">SUMPRODUCT($J25:$U25,TRANSPOSE(CK$3:CK$14))</f>
        <v>0</v>
      </c>
      <c r="CL25" s="3">
        <f t="array" ref="CL25">SUMPRODUCT($J25:$U25,TRANSPOSE(CL$3:CL$14))</f>
        <v>0</v>
      </c>
      <c r="CM25" s="3">
        <f t="array" ref="CM25">SUMPRODUCT($J25:$U25,TRANSPOSE(CM$3:CM$14))</f>
        <v>10</v>
      </c>
      <c r="CN25" s="3">
        <f t="array" ref="CN25">SUMPRODUCT($J25:$U25,TRANSPOSE(CN$3:CN$14))</f>
        <v>15</v>
      </c>
      <c r="CO25" s="3">
        <f t="array" ref="CO25">SUMPRODUCT($J25:$U25,TRANSPOSE(CO$3:CO$14))</f>
        <v>15</v>
      </c>
      <c r="CP25" s="3">
        <f t="array" ref="CP25">SUMPRODUCT($J25:$U25,TRANSPOSE(CP$3:CP$14))</f>
        <v>20</v>
      </c>
      <c r="CQ25" s="3">
        <f t="array" ref="CQ25">SUMPRODUCT($J25:$U25,TRANSPOSE(CQ$3:CQ$14))</f>
        <v>20</v>
      </c>
      <c r="CR25" s="3">
        <f t="array" ref="CR25">SUMPRODUCT($J25:$U25,TRANSPOSE(CR$3:CR$14))</f>
        <v>20</v>
      </c>
      <c r="CS25" s="3">
        <f t="array" ref="CS25">SUMPRODUCT($J25:$U25,TRANSPOSE(CS$3:CS$14))</f>
        <v>20</v>
      </c>
      <c r="CT25" s="3">
        <f t="array" ref="CT25">SUMPRODUCT($J25:$U25,TRANSPOSE(CT$3:CT$14))</f>
        <v>10</v>
      </c>
      <c r="CU25" s="3">
        <f t="array" ref="CU25">SUMPRODUCT($J25:$U25,TRANSPOSE(CU$3:CU$14))</f>
        <v>0</v>
      </c>
      <c r="CV25" s="3">
        <f t="array" ref="CV25">SUMPRODUCT($J25:$U25,TRANSPOSE(CV$3:CV$14))</f>
        <v>0</v>
      </c>
      <c r="CW25" s="3">
        <f t="array" ref="CW25">SUMPRODUCT($J25:$U25,TRANSPOSE(CW$3:CW$14))</f>
        <v>0</v>
      </c>
      <c r="CX25" s="3">
        <f t="array" ref="CX25">SUMPRODUCT($J25:$U25,TRANSPOSE(CX$3:CX$14))</f>
        <v>0</v>
      </c>
      <c r="CY25" s="3">
        <f t="array" ref="CY25">SUMPRODUCT($J25:$U25,TRANSPOSE(CY$3:CY$14))</f>
        <v>0</v>
      </c>
      <c r="CZ25" s="3">
        <f t="array" ref="CZ25">SUMPRODUCT($J25:$U25,TRANSPOSE(CZ$3:CZ$14))</f>
        <v>0</v>
      </c>
      <c r="DA25" s="3">
        <f t="array" ref="DA25">SUMPRODUCT($J25:$U25,TRANSPOSE(DA$3:DA$14))</f>
        <v>0</v>
      </c>
      <c r="DB25" s="3">
        <f t="array" ref="DB25">SUMPRODUCT($J25:$U25,TRANSPOSE(DB$3:DB$14))</f>
        <v>0</v>
      </c>
      <c r="DC25" s="3">
        <f t="array" ref="DC25">SUMPRODUCT($J25:$U25,TRANSPOSE(DC$3:DC$14))</f>
        <v>0</v>
      </c>
      <c r="DD25" s="3">
        <f t="array" ref="DD25">SUMPRODUCT($J25:$U25,TRANSPOSE(DD$3:DD$14))</f>
        <v>0</v>
      </c>
      <c r="DE25" s="3">
        <f t="array" ref="DE25">SUMPRODUCT($J25:$U25,TRANSPOSE(DE$3:DE$14))</f>
        <v>0</v>
      </c>
    </row>
    <row r="26" spans="1:109" ht="13.5" thickBot="1" x14ac:dyDescent="0.25">
      <c r="A26" s="3">
        <v>42</v>
      </c>
      <c r="B26" s="9" t="s">
        <v>383</v>
      </c>
      <c r="C26" s="3" t="s">
        <v>13</v>
      </c>
      <c r="D26" s="3">
        <v>415600484</v>
      </c>
      <c r="F26" s="3" t="s">
        <v>384</v>
      </c>
      <c r="G26" s="3" t="s">
        <v>14</v>
      </c>
      <c r="H26" s="3">
        <v>1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f t="shared" si="37"/>
        <v>1</v>
      </c>
      <c r="W26" s="3">
        <f t="shared" si="38"/>
        <v>145</v>
      </c>
      <c r="X26" s="8" t="s">
        <v>363</v>
      </c>
      <c r="Y26" s="3">
        <v>417</v>
      </c>
      <c r="Z26" s="3" t="s">
        <v>55</v>
      </c>
      <c r="AA26" s="3" t="s">
        <v>56</v>
      </c>
      <c r="AB26" s="3">
        <v>91.973118825300006</v>
      </c>
      <c r="AC26" s="3" t="s">
        <v>57</v>
      </c>
      <c r="BJ26" s="3">
        <f>SUM($AE26,$AF26:AH26)-SUM($CH26:CK26)</f>
        <v>-10</v>
      </c>
      <c r="BK26" s="3">
        <f>SUM($AE26,$AF26:AI26)-SUM($CH26:CL26)</f>
        <v>-25</v>
      </c>
      <c r="BL26" s="3">
        <f>SUM($AE26,$AF26:AJ26)-SUM($CH26:CM26)</f>
        <v>-45</v>
      </c>
      <c r="BM26" s="3">
        <f>SUM($AE26,$AF26:AK26)-SUM($CH26:CN26)</f>
        <v>-65</v>
      </c>
      <c r="BN26" s="3">
        <f>SUM($AE26,$AF26:AL26)-SUM($CH26:CO26)</f>
        <v>-85</v>
      </c>
      <c r="BO26" s="3">
        <f>SUM($AE26,$AF26:AM26)-SUM($CH26:CP26)</f>
        <v>-105</v>
      </c>
      <c r="BP26" s="3">
        <f>SUM($AE26,$AF26:AN26)-SUM($CH26:CQ26)</f>
        <v>-125</v>
      </c>
      <c r="BQ26" s="3">
        <f>SUM($AE26,$AF26:AO26)-SUM($CH26:CR26)</f>
        <v>-145</v>
      </c>
      <c r="BR26" s="3">
        <f>SUM($AE26,$AF26:AP26)-SUM($CH26:CS26)</f>
        <v>-145</v>
      </c>
      <c r="BS26" s="3">
        <f>SUM($AE26,$AF26:AQ26)-SUM($CH26:CT26)</f>
        <v>-145</v>
      </c>
      <c r="BT26" s="3">
        <f>SUM($AE26,$AF26:AR26)-SUM($CH26:CU26)</f>
        <v>-145</v>
      </c>
      <c r="BU26" s="3">
        <f>SUM($AE26,$AF26:AS26)-SUM($CH26:CV26)</f>
        <v>-145</v>
      </c>
      <c r="BV26" s="3">
        <f>SUM($AE26,$AF26:AT26)-SUM($CH26:CW26)</f>
        <v>-145</v>
      </c>
      <c r="BW26" s="3">
        <f>SUM($AE26,$AF26:AU26)-SUM($CH26:CX26)</f>
        <v>-145</v>
      </c>
      <c r="BX26" s="3">
        <f>SUM($AE26,$AF26:AV26)-SUM($CH26:CY26)</f>
        <v>-145</v>
      </c>
      <c r="BY26" s="3">
        <f>SUM($AE26,$AF26:AW26)-SUM($CH26:CZ26)</f>
        <v>-145</v>
      </c>
      <c r="BZ26" s="3">
        <f>SUM($AE26,$AF26:AX26)-SUM($CH26:DA26)</f>
        <v>-145</v>
      </c>
      <c r="CA26" s="3">
        <f>SUM($AE26,$AF26:AY26)-SUM($CH26:DB26)</f>
        <v>-145</v>
      </c>
      <c r="CB26" s="3">
        <f>SUM($AE26,$AF26:AZ26)-SUM($CH26:DC26)</f>
        <v>-145</v>
      </c>
      <c r="CC26" s="3">
        <f>SUM($AE26,$AF26:BA26)-SUM($CH26:DD26)</f>
        <v>-145</v>
      </c>
      <c r="CI26" s="3">
        <f t="array" ref="CI26">SUMPRODUCT($J26:$U26,TRANSPOSE(CI$3:CI$14))</f>
        <v>0</v>
      </c>
      <c r="CJ26" s="3">
        <f t="array" ref="CJ26">SUMPRODUCT($J26:$U26,TRANSPOSE(CJ$3:CJ$14))</f>
        <v>0</v>
      </c>
      <c r="CK26" s="3">
        <f t="array" ref="CK26">SUMPRODUCT($J26:$U26,TRANSPOSE(CK$3:CK$14))</f>
        <v>10</v>
      </c>
      <c r="CL26" s="3">
        <f t="array" ref="CL26">SUMPRODUCT($J26:$U26,TRANSPOSE(CL$3:CL$14))</f>
        <v>15</v>
      </c>
      <c r="CM26" s="3">
        <f t="array" ref="CM26">SUMPRODUCT($J26:$U26,TRANSPOSE(CM$3:CM$14))</f>
        <v>20</v>
      </c>
      <c r="CN26" s="3">
        <f t="array" ref="CN26">SUMPRODUCT($J26:$U26,TRANSPOSE(CN$3:CN$14))</f>
        <v>20</v>
      </c>
      <c r="CO26" s="3">
        <f t="array" ref="CO26">SUMPRODUCT($J26:$U26,TRANSPOSE(CO$3:CO$14))</f>
        <v>20</v>
      </c>
      <c r="CP26" s="3">
        <f t="array" ref="CP26">SUMPRODUCT($J26:$U26,TRANSPOSE(CP$3:CP$14))</f>
        <v>20</v>
      </c>
      <c r="CQ26" s="3">
        <f t="array" ref="CQ26">SUMPRODUCT($J26:$U26,TRANSPOSE(CQ$3:CQ$14))</f>
        <v>20</v>
      </c>
      <c r="CR26" s="3">
        <f t="array" ref="CR26">SUMPRODUCT($J26:$U26,TRANSPOSE(CR$3:CR$14))</f>
        <v>20</v>
      </c>
      <c r="CS26" s="3">
        <f t="array" ref="CS26">SUMPRODUCT($J26:$U26,TRANSPOSE(CS$3:CS$14))</f>
        <v>0</v>
      </c>
      <c r="CT26" s="3">
        <f t="array" ref="CT26">SUMPRODUCT($J26:$U26,TRANSPOSE(CT$3:CT$14))</f>
        <v>0</v>
      </c>
      <c r="CU26" s="3">
        <f t="array" ref="CU26">SUMPRODUCT($J26:$U26,TRANSPOSE(CU$3:CU$14))</f>
        <v>0</v>
      </c>
      <c r="CV26" s="3">
        <f t="array" ref="CV26">SUMPRODUCT($J26:$U26,TRANSPOSE(CV$3:CV$14))</f>
        <v>0</v>
      </c>
      <c r="CW26" s="3">
        <f t="array" ref="CW26">SUMPRODUCT($J26:$U26,TRANSPOSE(CW$3:CW$14))</f>
        <v>0</v>
      </c>
      <c r="CX26" s="3">
        <f t="array" ref="CX26">SUMPRODUCT($J26:$U26,TRANSPOSE(CX$3:CX$14))</f>
        <v>0</v>
      </c>
      <c r="CY26" s="3">
        <f t="array" ref="CY26">SUMPRODUCT($J26:$U26,TRANSPOSE(CY$3:CY$14))</f>
        <v>0</v>
      </c>
      <c r="CZ26" s="3">
        <f t="array" ref="CZ26">SUMPRODUCT($J26:$U26,TRANSPOSE(CZ$3:CZ$14))</f>
        <v>0</v>
      </c>
      <c r="DA26" s="3">
        <f t="array" ref="DA26">SUMPRODUCT($J26:$U26,TRANSPOSE(DA$3:DA$14))</f>
        <v>0</v>
      </c>
      <c r="DB26" s="3">
        <f t="array" ref="DB26">SUMPRODUCT($J26:$U26,TRANSPOSE(DB$3:DB$14))</f>
        <v>0</v>
      </c>
      <c r="DC26" s="3">
        <f t="array" ref="DC26">SUMPRODUCT($J26:$U26,TRANSPOSE(DC$3:DC$14))</f>
        <v>0</v>
      </c>
      <c r="DD26" s="3">
        <f t="array" ref="DD26">SUMPRODUCT($J26:$U26,TRANSPOSE(DD$3:DD$14))</f>
        <v>0</v>
      </c>
      <c r="DE26" s="3">
        <f t="array" ref="DE26">SUMPRODUCT($J26:$U26,TRANSPOSE(DE$3:DE$14))</f>
        <v>0</v>
      </c>
    </row>
    <row r="27" spans="1:109" ht="13.5" thickBot="1" x14ac:dyDescent="0.25">
      <c r="A27" s="3">
        <v>43</v>
      </c>
      <c r="B27" s="9" t="s">
        <v>357</v>
      </c>
      <c r="C27" s="3" t="s">
        <v>13</v>
      </c>
      <c r="D27" s="3">
        <v>415600485</v>
      </c>
      <c r="F27" s="3" t="s">
        <v>385</v>
      </c>
      <c r="G27" s="3" t="s">
        <v>14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f t="shared" si="37"/>
        <v>1</v>
      </c>
      <c r="W27" s="3">
        <f t="shared" si="38"/>
        <v>145</v>
      </c>
      <c r="X27" s="8" t="s">
        <v>15</v>
      </c>
      <c r="Z27" s="3" t="s">
        <v>15</v>
      </c>
      <c r="BJ27" s="3">
        <f>SUM($AE27,$AF27:AH27)-SUM($CH27:CK27)</f>
        <v>0</v>
      </c>
      <c r="BK27" s="3">
        <f>SUM($AE27,$AF27:AI27)-SUM($CH27:CL27)</f>
        <v>-10</v>
      </c>
      <c r="BL27" s="3">
        <f>SUM($AE27,$AF27:AJ27)-SUM($CH27:CM27)</f>
        <v>-25</v>
      </c>
      <c r="BM27" s="3">
        <f>SUM($AE27,$AF27:AK27)-SUM($CH27:CN27)</f>
        <v>-45</v>
      </c>
      <c r="BN27" s="3">
        <f>SUM($AE27,$AF27:AL27)-SUM($CH27:CO27)</f>
        <v>-65</v>
      </c>
      <c r="BO27" s="3">
        <f>SUM($AE27,$AF27:AM27)-SUM($CH27:CP27)</f>
        <v>-85</v>
      </c>
      <c r="BP27" s="3">
        <f>SUM($AE27,$AF27:AN27)-SUM($CH27:CQ27)</f>
        <v>-105</v>
      </c>
      <c r="BQ27" s="3">
        <f>SUM($AE27,$AF27:AO27)-SUM($CH27:CR27)</f>
        <v>-125</v>
      </c>
      <c r="BR27" s="3">
        <f>SUM($AE27,$AF27:AP27)-SUM($CH27:CS27)</f>
        <v>-145</v>
      </c>
      <c r="BS27" s="3">
        <f>SUM($AE27,$AF27:AQ27)-SUM($CH27:CT27)</f>
        <v>-145</v>
      </c>
      <c r="BT27" s="3">
        <f>SUM($AE27,$AF27:AR27)-SUM($CH27:CU27)</f>
        <v>-145</v>
      </c>
      <c r="BU27" s="3">
        <f>SUM($AE27,$AF27:AS27)-SUM($CH27:CV27)</f>
        <v>-145</v>
      </c>
      <c r="BV27" s="3">
        <f>SUM($AE27,$AF27:AT27)-SUM($CH27:CW27)</f>
        <v>-145</v>
      </c>
      <c r="BW27" s="3">
        <f>SUM($AE27,$AF27:AU27)-SUM($CH27:CX27)</f>
        <v>-145</v>
      </c>
      <c r="BX27" s="3">
        <f>SUM($AE27,$AF27:AV27)-SUM($CH27:CY27)</f>
        <v>-145</v>
      </c>
      <c r="BY27" s="3">
        <f>SUM($AE27,$AF27:AW27)-SUM($CH27:CZ27)</f>
        <v>-145</v>
      </c>
      <c r="BZ27" s="3">
        <f>SUM($AE27,$AF27:AX27)-SUM($CH27:DA27)</f>
        <v>-145</v>
      </c>
      <c r="CA27" s="3">
        <f>SUM($AE27,$AF27:AY27)-SUM($CH27:DB27)</f>
        <v>-145</v>
      </c>
      <c r="CB27" s="3">
        <f>SUM($AE27,$AF27:AZ27)-SUM($CH27:DC27)</f>
        <v>-145</v>
      </c>
      <c r="CC27" s="3">
        <f>SUM($AE27,$AF27:BA27)-SUM($CH27:DD27)</f>
        <v>-145</v>
      </c>
      <c r="CI27" s="3">
        <f t="array" ref="CI27">SUMPRODUCT($J27:$U27,TRANSPOSE(CI$3:CI$14))</f>
        <v>0</v>
      </c>
      <c r="CJ27" s="3">
        <f t="array" ref="CJ27">SUMPRODUCT($J27:$U27,TRANSPOSE(CJ$3:CJ$14))</f>
        <v>0</v>
      </c>
      <c r="CK27" s="3">
        <f t="array" ref="CK27">SUMPRODUCT($J27:$U27,TRANSPOSE(CK$3:CK$14))</f>
        <v>0</v>
      </c>
      <c r="CL27" s="3">
        <f t="array" ref="CL27">SUMPRODUCT($J27:$U27,TRANSPOSE(CL$3:CL$14))</f>
        <v>10</v>
      </c>
      <c r="CM27" s="3">
        <f t="array" ref="CM27">SUMPRODUCT($J27:$U27,TRANSPOSE(CM$3:CM$14))</f>
        <v>15</v>
      </c>
      <c r="CN27" s="3">
        <f t="array" ref="CN27">SUMPRODUCT($J27:$U27,TRANSPOSE(CN$3:CN$14))</f>
        <v>20</v>
      </c>
      <c r="CO27" s="3">
        <f t="array" ref="CO27">SUMPRODUCT($J27:$U27,TRANSPOSE(CO$3:CO$14))</f>
        <v>20</v>
      </c>
      <c r="CP27" s="3">
        <f t="array" ref="CP27">SUMPRODUCT($J27:$U27,TRANSPOSE(CP$3:CP$14))</f>
        <v>20</v>
      </c>
      <c r="CQ27" s="3">
        <f t="array" ref="CQ27">SUMPRODUCT($J27:$U27,TRANSPOSE(CQ$3:CQ$14))</f>
        <v>20</v>
      </c>
      <c r="CR27" s="3">
        <f t="array" ref="CR27">SUMPRODUCT($J27:$U27,TRANSPOSE(CR$3:CR$14))</f>
        <v>20</v>
      </c>
      <c r="CS27" s="3">
        <f t="array" ref="CS27">SUMPRODUCT($J27:$U27,TRANSPOSE(CS$3:CS$14))</f>
        <v>20</v>
      </c>
      <c r="CT27" s="3">
        <f t="array" ref="CT27">SUMPRODUCT($J27:$U27,TRANSPOSE(CT$3:CT$14))</f>
        <v>0</v>
      </c>
      <c r="CU27" s="3">
        <f t="array" ref="CU27">SUMPRODUCT($J27:$U27,TRANSPOSE(CU$3:CU$14))</f>
        <v>0</v>
      </c>
      <c r="CV27" s="3">
        <f t="array" ref="CV27">SUMPRODUCT($J27:$U27,TRANSPOSE(CV$3:CV$14))</f>
        <v>0</v>
      </c>
      <c r="CW27" s="3">
        <f t="array" ref="CW27">SUMPRODUCT($J27:$U27,TRANSPOSE(CW$3:CW$14))</f>
        <v>0</v>
      </c>
      <c r="CX27" s="3">
        <f t="array" ref="CX27">SUMPRODUCT($J27:$U27,TRANSPOSE(CX$3:CX$14))</f>
        <v>0</v>
      </c>
      <c r="CY27" s="3">
        <f t="array" ref="CY27">SUMPRODUCT($J27:$U27,TRANSPOSE(CY$3:CY$14))</f>
        <v>0</v>
      </c>
      <c r="CZ27" s="3">
        <f t="array" ref="CZ27">SUMPRODUCT($J27:$U27,TRANSPOSE(CZ$3:CZ$14))</f>
        <v>0</v>
      </c>
      <c r="DA27" s="3">
        <f t="array" ref="DA27">SUMPRODUCT($J27:$U27,TRANSPOSE(DA$3:DA$14))</f>
        <v>0</v>
      </c>
      <c r="DB27" s="3">
        <f t="array" ref="DB27">SUMPRODUCT($J27:$U27,TRANSPOSE(DB$3:DB$14))</f>
        <v>0</v>
      </c>
      <c r="DC27" s="3">
        <f t="array" ref="DC27">SUMPRODUCT($J27:$U27,TRANSPOSE(DC$3:DC$14))</f>
        <v>0</v>
      </c>
      <c r="DD27" s="3">
        <f t="array" ref="DD27">SUMPRODUCT($J27:$U27,TRANSPOSE(DD$3:DD$14))</f>
        <v>0</v>
      </c>
      <c r="DE27" s="3">
        <f t="array" ref="DE27">SUMPRODUCT($J27:$U27,TRANSPOSE(DE$3:DE$14))</f>
        <v>0</v>
      </c>
    </row>
    <row r="28" spans="1:109" ht="13.5" thickBot="1" x14ac:dyDescent="0.25">
      <c r="A28" s="3">
        <v>44</v>
      </c>
      <c r="B28" s="9" t="s">
        <v>386</v>
      </c>
      <c r="C28" s="3" t="s">
        <v>49</v>
      </c>
      <c r="D28" s="3">
        <v>412298926</v>
      </c>
      <c r="F28" s="3" t="s">
        <v>387</v>
      </c>
      <c r="G28" s="3" t="s">
        <v>14</v>
      </c>
      <c r="H28" s="3">
        <v>1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f t="shared" si="37"/>
        <v>1</v>
      </c>
      <c r="W28" s="3">
        <f t="shared" si="38"/>
        <v>130</v>
      </c>
      <c r="X28" s="8" t="s">
        <v>363</v>
      </c>
      <c r="Y28" s="3">
        <v>210</v>
      </c>
      <c r="Z28" s="3" t="s">
        <v>55</v>
      </c>
      <c r="AA28" s="3" t="s">
        <v>56</v>
      </c>
      <c r="AB28" s="3">
        <v>91.973118825300006</v>
      </c>
      <c r="AC28" s="3" t="s">
        <v>57</v>
      </c>
      <c r="BJ28" s="3">
        <f>SUM($AE28,$AF28:AH28)-SUM($CH28:CK28)</f>
        <v>0</v>
      </c>
      <c r="BK28" s="3">
        <f>SUM($AE28,$AF28:AI28)-SUM($CH28:CL28)</f>
        <v>0</v>
      </c>
      <c r="BL28" s="3">
        <f>SUM($AE28,$AF28:AJ28)-SUM($CH28:CM28)</f>
        <v>-10</v>
      </c>
      <c r="BM28" s="3">
        <f>SUM($AE28,$AF28:AK28)-SUM($CH28:CN28)</f>
        <v>-25</v>
      </c>
      <c r="BN28" s="3">
        <f>SUM($AE28,$AF28:AL28)-SUM($CH28:CO28)</f>
        <v>-40</v>
      </c>
      <c r="BO28" s="3">
        <f>SUM($AE28,$AF28:AM28)-SUM($CH28:CP28)</f>
        <v>-60</v>
      </c>
      <c r="BP28" s="3">
        <f>SUM($AE28,$AF28:AN28)-SUM($CH28:CQ28)</f>
        <v>-80</v>
      </c>
      <c r="BQ28" s="3">
        <f>SUM($AE28,$AF28:AO28)-SUM($CH28:CR28)</f>
        <v>-100</v>
      </c>
      <c r="BR28" s="3">
        <f>SUM($AE28,$AF28:AP28)-SUM($CH28:CS28)</f>
        <v>-120</v>
      </c>
      <c r="BS28" s="3">
        <f>SUM($AE28,$AF28:AQ28)-SUM($CH28:CT28)</f>
        <v>-130</v>
      </c>
      <c r="BT28" s="3">
        <f>SUM($AE28,$AF28:AR28)-SUM($CH28:CU28)</f>
        <v>-130</v>
      </c>
      <c r="BU28" s="3">
        <f>SUM($AE28,$AF28:AS28)-SUM($CH28:CV28)</f>
        <v>-130</v>
      </c>
      <c r="BV28" s="3">
        <f>SUM($AE28,$AF28:AT28)-SUM($CH28:CW28)</f>
        <v>-130</v>
      </c>
      <c r="BW28" s="3">
        <f>SUM($AE28,$AF28:AU28)-SUM($CH28:CX28)</f>
        <v>-130</v>
      </c>
      <c r="BX28" s="3">
        <f>SUM($AE28,$AF28:AV28)-SUM($CH28:CY28)</f>
        <v>-130</v>
      </c>
      <c r="BY28" s="3">
        <f>SUM($AE28,$AF28:AW28)-SUM($CH28:CZ28)</f>
        <v>-130</v>
      </c>
      <c r="BZ28" s="3">
        <f>SUM($AE28,$AF28:AX28)-SUM($CH28:DA28)</f>
        <v>-130</v>
      </c>
      <c r="CA28" s="3">
        <f>SUM($AE28,$AF28:AY28)-SUM($CH28:DB28)</f>
        <v>-130</v>
      </c>
      <c r="CB28" s="3">
        <f>SUM($AE28,$AF28:AZ28)-SUM($CH28:DC28)</f>
        <v>-130</v>
      </c>
      <c r="CC28" s="3">
        <f>SUM($AE28,$AF28:BA28)-SUM($CH28:DD28)</f>
        <v>-130</v>
      </c>
      <c r="CI28" s="3">
        <f t="array" ref="CI28">SUMPRODUCT($J28:$U28,TRANSPOSE(CI$3:CI$14))</f>
        <v>0</v>
      </c>
      <c r="CJ28" s="3">
        <f t="array" ref="CJ28">SUMPRODUCT($J28:$U28,TRANSPOSE(CJ$3:CJ$14))</f>
        <v>0</v>
      </c>
      <c r="CK28" s="3">
        <f t="array" ref="CK28">SUMPRODUCT($J28:$U28,TRANSPOSE(CK$3:CK$14))</f>
        <v>0</v>
      </c>
      <c r="CL28" s="3">
        <f t="array" ref="CL28">SUMPRODUCT($J28:$U28,TRANSPOSE(CL$3:CL$14))</f>
        <v>0</v>
      </c>
      <c r="CM28" s="3">
        <f t="array" ref="CM28">SUMPRODUCT($J28:$U28,TRANSPOSE(CM$3:CM$14))</f>
        <v>10</v>
      </c>
      <c r="CN28" s="3">
        <f t="array" ref="CN28">SUMPRODUCT($J28:$U28,TRANSPOSE(CN$3:CN$14))</f>
        <v>15</v>
      </c>
      <c r="CO28" s="3">
        <f t="array" ref="CO28">SUMPRODUCT($J28:$U28,TRANSPOSE(CO$3:CO$14))</f>
        <v>15</v>
      </c>
      <c r="CP28" s="3">
        <f t="array" ref="CP28">SUMPRODUCT($J28:$U28,TRANSPOSE(CP$3:CP$14))</f>
        <v>20</v>
      </c>
      <c r="CQ28" s="3">
        <f t="array" ref="CQ28">SUMPRODUCT($J28:$U28,TRANSPOSE(CQ$3:CQ$14))</f>
        <v>20</v>
      </c>
      <c r="CR28" s="3">
        <f t="array" ref="CR28">SUMPRODUCT($J28:$U28,TRANSPOSE(CR$3:CR$14))</f>
        <v>20</v>
      </c>
      <c r="CS28" s="3">
        <f t="array" ref="CS28">SUMPRODUCT($J28:$U28,TRANSPOSE(CS$3:CS$14))</f>
        <v>20</v>
      </c>
      <c r="CT28" s="3">
        <f t="array" ref="CT28">SUMPRODUCT($J28:$U28,TRANSPOSE(CT$3:CT$14))</f>
        <v>10</v>
      </c>
      <c r="CU28" s="3">
        <f t="array" ref="CU28">SUMPRODUCT($J28:$U28,TRANSPOSE(CU$3:CU$14))</f>
        <v>0</v>
      </c>
      <c r="CV28" s="3">
        <f t="array" ref="CV28">SUMPRODUCT($J28:$U28,TRANSPOSE(CV$3:CV$14))</f>
        <v>0</v>
      </c>
      <c r="CW28" s="3">
        <f t="array" ref="CW28">SUMPRODUCT($J28:$U28,TRANSPOSE(CW$3:CW$14))</f>
        <v>0</v>
      </c>
      <c r="CX28" s="3">
        <f t="array" ref="CX28">SUMPRODUCT($J28:$U28,TRANSPOSE(CX$3:CX$14))</f>
        <v>0</v>
      </c>
      <c r="CY28" s="3">
        <f t="array" ref="CY28">SUMPRODUCT($J28:$U28,TRANSPOSE(CY$3:CY$14))</f>
        <v>0</v>
      </c>
      <c r="CZ28" s="3">
        <f t="array" ref="CZ28">SUMPRODUCT($J28:$U28,TRANSPOSE(CZ$3:CZ$14))</f>
        <v>0</v>
      </c>
      <c r="DA28" s="3">
        <f t="array" ref="DA28">SUMPRODUCT($J28:$U28,TRANSPOSE(DA$3:DA$14))</f>
        <v>0</v>
      </c>
      <c r="DB28" s="3">
        <f t="array" ref="DB28">SUMPRODUCT($J28:$U28,TRANSPOSE(DB$3:DB$14))</f>
        <v>0</v>
      </c>
      <c r="DC28" s="3">
        <f t="array" ref="DC28">SUMPRODUCT($J28:$U28,TRANSPOSE(DC$3:DC$14))</f>
        <v>0</v>
      </c>
      <c r="DD28" s="3">
        <f t="array" ref="DD28">SUMPRODUCT($J28:$U28,TRANSPOSE(DD$3:DD$14))</f>
        <v>0</v>
      </c>
      <c r="DE28" s="3">
        <f t="array" ref="DE28">SUMPRODUCT($J28:$U28,TRANSPOSE(DE$3:DE$14))</f>
        <v>0</v>
      </c>
    </row>
    <row r="29" spans="1:109" ht="13.5" thickBot="1" x14ac:dyDescent="0.25">
      <c r="A29" s="3">
        <v>46</v>
      </c>
      <c r="B29" s="9" t="s">
        <v>388</v>
      </c>
      <c r="C29" s="3" t="s">
        <v>37</v>
      </c>
      <c r="D29" s="3">
        <v>411559391</v>
      </c>
      <c r="F29" s="3" t="s">
        <v>389</v>
      </c>
      <c r="G29" s="3" t="s">
        <v>14</v>
      </c>
      <c r="H29" s="3">
        <v>1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f t="shared" si="37"/>
        <v>1</v>
      </c>
      <c r="W29" s="3">
        <f t="shared" si="38"/>
        <v>130</v>
      </c>
      <c r="X29" s="8" t="s">
        <v>363</v>
      </c>
      <c r="Y29" s="3">
        <v>814</v>
      </c>
      <c r="Z29" s="3" t="s">
        <v>55</v>
      </c>
      <c r="AA29" s="3" t="s">
        <v>56</v>
      </c>
      <c r="AB29" s="3">
        <v>91.973118825300006</v>
      </c>
      <c r="AC29" s="3" t="s">
        <v>57</v>
      </c>
      <c r="BJ29" s="3">
        <f>SUM($AE29,$AF29:AH29)-SUM($CH29:CK29)</f>
        <v>0</v>
      </c>
      <c r="BK29" s="3">
        <f>SUM($AE29,$AF29:AI29)-SUM($CH29:CL29)</f>
        <v>0</v>
      </c>
      <c r="BL29" s="3">
        <f>SUM($AE29,$AF29:AJ29)-SUM($CH29:CM29)</f>
        <v>-10</v>
      </c>
      <c r="BM29" s="3">
        <f>SUM($AE29,$AF29:AK29)-SUM($CH29:CN29)</f>
        <v>-25</v>
      </c>
      <c r="BN29" s="3">
        <f>SUM($AE29,$AF29:AL29)-SUM($CH29:CO29)</f>
        <v>-40</v>
      </c>
      <c r="BO29" s="3">
        <f>SUM($AE29,$AF29:AM29)-SUM($CH29:CP29)</f>
        <v>-60</v>
      </c>
      <c r="BP29" s="3">
        <f>SUM($AE29,$AF29:AN29)-SUM($CH29:CQ29)</f>
        <v>-80</v>
      </c>
      <c r="BQ29" s="3">
        <f>SUM($AE29,$AF29:AO29)-SUM($CH29:CR29)</f>
        <v>-100</v>
      </c>
      <c r="BR29" s="3">
        <f>SUM($AE29,$AF29:AP29)-SUM($CH29:CS29)</f>
        <v>-120</v>
      </c>
      <c r="BS29" s="3">
        <f>SUM($AE29,$AF29:AQ29)-SUM($CH29:CT29)</f>
        <v>-130</v>
      </c>
      <c r="BT29" s="3">
        <f>SUM($AE29,$AF29:AR29)-SUM($CH29:CU29)</f>
        <v>-130</v>
      </c>
      <c r="BU29" s="3">
        <f>SUM($AE29,$AF29:AS29)-SUM($CH29:CV29)</f>
        <v>-130</v>
      </c>
      <c r="BV29" s="3">
        <f>SUM($AE29,$AF29:AT29)-SUM($CH29:CW29)</f>
        <v>-130</v>
      </c>
      <c r="BW29" s="3">
        <f>SUM($AE29,$AF29:AU29)-SUM($CH29:CX29)</f>
        <v>-130</v>
      </c>
      <c r="BX29" s="3">
        <f>SUM($AE29,$AF29:AV29)-SUM($CH29:CY29)</f>
        <v>-130</v>
      </c>
      <c r="BY29" s="3">
        <f>SUM($AE29,$AF29:AW29)-SUM($CH29:CZ29)</f>
        <v>-130</v>
      </c>
      <c r="BZ29" s="3">
        <f>SUM($AE29,$AF29:AX29)-SUM($CH29:DA29)</f>
        <v>-130</v>
      </c>
      <c r="CA29" s="3">
        <f>SUM($AE29,$AF29:AY29)-SUM($CH29:DB29)</f>
        <v>-130</v>
      </c>
      <c r="CB29" s="3">
        <f>SUM($AE29,$AF29:AZ29)-SUM($CH29:DC29)</f>
        <v>-130</v>
      </c>
      <c r="CC29" s="3">
        <f>SUM($AE29,$AF29:BA29)-SUM($CH29:DD29)</f>
        <v>-130</v>
      </c>
      <c r="CI29" s="3">
        <f t="array" ref="CI29">SUMPRODUCT($J29:$U29,TRANSPOSE(CI$3:CI$14))</f>
        <v>0</v>
      </c>
      <c r="CJ29" s="3">
        <f t="array" ref="CJ29">SUMPRODUCT($J29:$U29,TRANSPOSE(CJ$3:CJ$14))</f>
        <v>0</v>
      </c>
      <c r="CK29" s="3">
        <f t="array" ref="CK29">SUMPRODUCT($J29:$U29,TRANSPOSE(CK$3:CK$14))</f>
        <v>0</v>
      </c>
      <c r="CL29" s="3">
        <f t="array" ref="CL29">SUMPRODUCT($J29:$U29,TRANSPOSE(CL$3:CL$14))</f>
        <v>0</v>
      </c>
      <c r="CM29" s="3">
        <f t="array" ref="CM29">SUMPRODUCT($J29:$U29,TRANSPOSE(CM$3:CM$14))</f>
        <v>10</v>
      </c>
      <c r="CN29" s="3">
        <f t="array" ref="CN29">SUMPRODUCT($J29:$U29,TRANSPOSE(CN$3:CN$14))</f>
        <v>15</v>
      </c>
      <c r="CO29" s="3">
        <f t="array" ref="CO29">SUMPRODUCT($J29:$U29,TRANSPOSE(CO$3:CO$14))</f>
        <v>15</v>
      </c>
      <c r="CP29" s="3">
        <f t="array" ref="CP29">SUMPRODUCT($J29:$U29,TRANSPOSE(CP$3:CP$14))</f>
        <v>20</v>
      </c>
      <c r="CQ29" s="3">
        <f t="array" ref="CQ29">SUMPRODUCT($J29:$U29,TRANSPOSE(CQ$3:CQ$14))</f>
        <v>20</v>
      </c>
      <c r="CR29" s="3">
        <f t="array" ref="CR29">SUMPRODUCT($J29:$U29,TRANSPOSE(CR$3:CR$14))</f>
        <v>20</v>
      </c>
      <c r="CS29" s="3">
        <f t="array" ref="CS29">SUMPRODUCT($J29:$U29,TRANSPOSE(CS$3:CS$14))</f>
        <v>20</v>
      </c>
      <c r="CT29" s="3">
        <f t="array" ref="CT29">SUMPRODUCT($J29:$U29,TRANSPOSE(CT$3:CT$14))</f>
        <v>10</v>
      </c>
      <c r="CU29" s="3">
        <f t="array" ref="CU29">SUMPRODUCT($J29:$U29,TRANSPOSE(CU$3:CU$14))</f>
        <v>0</v>
      </c>
      <c r="CV29" s="3">
        <f t="array" ref="CV29">SUMPRODUCT($J29:$U29,TRANSPOSE(CV$3:CV$14))</f>
        <v>0</v>
      </c>
      <c r="CW29" s="3">
        <f t="array" ref="CW29">SUMPRODUCT($J29:$U29,TRANSPOSE(CW$3:CW$14))</f>
        <v>0</v>
      </c>
      <c r="CX29" s="3">
        <f t="array" ref="CX29">SUMPRODUCT($J29:$U29,TRANSPOSE(CX$3:CX$14))</f>
        <v>0</v>
      </c>
      <c r="CY29" s="3">
        <f t="array" ref="CY29">SUMPRODUCT($J29:$U29,TRANSPOSE(CY$3:CY$14))</f>
        <v>0</v>
      </c>
      <c r="CZ29" s="3">
        <f t="array" ref="CZ29">SUMPRODUCT($J29:$U29,TRANSPOSE(CZ$3:CZ$14))</f>
        <v>0</v>
      </c>
      <c r="DA29" s="3">
        <f t="array" ref="DA29">SUMPRODUCT($J29:$U29,TRANSPOSE(DA$3:DA$14))</f>
        <v>0</v>
      </c>
      <c r="DB29" s="3">
        <f t="array" ref="DB29">SUMPRODUCT($J29:$U29,TRANSPOSE(DB$3:DB$14))</f>
        <v>0</v>
      </c>
      <c r="DC29" s="3">
        <f t="array" ref="DC29">SUMPRODUCT($J29:$U29,TRANSPOSE(DC$3:DC$14))</f>
        <v>0</v>
      </c>
      <c r="DD29" s="3">
        <f t="array" ref="DD29">SUMPRODUCT($J29:$U29,TRANSPOSE(DD$3:DD$14))</f>
        <v>0</v>
      </c>
      <c r="DE29" s="3">
        <f t="array" ref="DE29">SUMPRODUCT($J29:$U29,TRANSPOSE(DE$3:DE$14))</f>
        <v>0</v>
      </c>
    </row>
    <row r="30" spans="1:109" ht="13.5" thickBot="1" x14ac:dyDescent="0.25">
      <c r="A30" s="3">
        <v>47</v>
      </c>
      <c r="B30" s="9" t="s">
        <v>390</v>
      </c>
      <c r="C30" s="3" t="s">
        <v>391</v>
      </c>
      <c r="D30" s="16">
        <v>412240982</v>
      </c>
      <c r="F30" s="3" t="s">
        <v>392</v>
      </c>
      <c r="G30" s="3" t="s">
        <v>14</v>
      </c>
      <c r="H30" s="3">
        <v>1</v>
      </c>
      <c r="I30" s="3">
        <v>3</v>
      </c>
      <c r="J30" s="3">
        <v>0</v>
      </c>
      <c r="K30" s="3">
        <v>1</v>
      </c>
      <c r="L30" s="3">
        <v>0</v>
      </c>
      <c r="M30" s="3">
        <v>0</v>
      </c>
      <c r="N30" s="3">
        <v>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f t="shared" si="37"/>
        <v>3</v>
      </c>
      <c r="W30" s="3">
        <f t="shared" si="38"/>
        <v>390</v>
      </c>
      <c r="X30" s="8" t="s">
        <v>363</v>
      </c>
      <c r="Y30" s="17"/>
      <c r="BJ30" s="3">
        <f>SUM($AE30,$AF30:AH30)-SUM($CH30:CK30)</f>
        <v>0</v>
      </c>
      <c r="BK30" s="3">
        <f>SUM($AE30,$AF30:AI30)-SUM($CH30:CL30)</f>
        <v>-30</v>
      </c>
      <c r="BL30" s="3">
        <f>SUM($AE30,$AF30:AJ30)-SUM($CH30:CM30)</f>
        <v>-75</v>
      </c>
      <c r="BM30" s="3">
        <f>SUM($AE30,$AF30:AK30)-SUM($CH30:CN30)</f>
        <v>-120</v>
      </c>
      <c r="BN30" s="3">
        <f>SUM($AE30,$AF30:AL30)-SUM($CH30:CO30)</f>
        <v>-180</v>
      </c>
      <c r="BO30" s="3">
        <f>SUM($AE30,$AF30:AM30)-SUM($CH30:CP30)</f>
        <v>-240</v>
      </c>
      <c r="BP30" s="3">
        <f>SUM($AE30,$AF30:AN30)-SUM($CH30:CQ30)</f>
        <v>-300</v>
      </c>
      <c r="BQ30" s="3">
        <f>SUM($AE30,$AF30:AO30)-SUM($CH30:CR30)</f>
        <v>-360</v>
      </c>
      <c r="BR30" s="3">
        <f>SUM($AE30,$AF30:AP30)-SUM($CH30:CS30)</f>
        <v>-390</v>
      </c>
      <c r="BS30" s="3">
        <f>SUM($AE30,$AF30:AQ30)-SUM($CH30:CT30)</f>
        <v>-390</v>
      </c>
      <c r="BT30" s="3">
        <f>SUM($AE30,$AF30:AR30)-SUM($CH30:CU30)</f>
        <v>-390</v>
      </c>
      <c r="BU30" s="3">
        <f>SUM($AE30,$AF30:AS30)-SUM($CH30:CV30)</f>
        <v>-390</v>
      </c>
      <c r="BV30" s="3">
        <f>SUM($AE30,$AF30:AT30)-SUM($CH30:CW30)</f>
        <v>-390</v>
      </c>
      <c r="BW30" s="3">
        <f>SUM($AE30,$AF30:AU30)-SUM($CH30:CX30)</f>
        <v>-390</v>
      </c>
      <c r="BX30" s="3">
        <f>SUM($AE30,$AF30:AV30)-SUM($CH30:CY30)</f>
        <v>-390</v>
      </c>
      <c r="BY30" s="3">
        <f>SUM($AE30,$AF30:AW30)-SUM($CH30:CZ30)</f>
        <v>-390</v>
      </c>
      <c r="BZ30" s="3">
        <f>SUM($AE30,$AF30:AX30)-SUM($CH30:DA30)</f>
        <v>-390</v>
      </c>
      <c r="CA30" s="3">
        <f>SUM($AE30,$AF30:AY30)-SUM($CH30:DB30)</f>
        <v>-390</v>
      </c>
      <c r="CB30" s="3">
        <f>SUM($AE30,$AF30:AZ30)-SUM($CH30:DC30)</f>
        <v>-390</v>
      </c>
      <c r="CC30" s="3">
        <f>SUM($AE30,$AF30:BA30)-SUM($CH30:DD30)</f>
        <v>-390</v>
      </c>
      <c r="CI30" s="3">
        <f t="array" ref="CI30">SUMPRODUCT($J30:$U30,TRANSPOSE(CI$3:CI$14))</f>
        <v>0</v>
      </c>
      <c r="CJ30" s="3">
        <f t="array" ref="CJ30">SUMPRODUCT($J30:$U30,TRANSPOSE(CJ$3:CJ$14))</f>
        <v>0</v>
      </c>
      <c r="CK30" s="3">
        <f t="array" ref="CK30">SUMPRODUCT($J30:$U30,TRANSPOSE(CK$3:CK$14))</f>
        <v>0</v>
      </c>
      <c r="CL30" s="3">
        <f t="array" ref="CL30">SUMPRODUCT($J30:$U30,TRANSPOSE(CL$3:CL$14))</f>
        <v>30</v>
      </c>
      <c r="CM30" s="3">
        <f t="array" ref="CM30">SUMPRODUCT($J30:$U30,TRANSPOSE(CM$3:CM$14))</f>
        <v>45</v>
      </c>
      <c r="CN30" s="3">
        <f t="array" ref="CN30">SUMPRODUCT($J30:$U30,TRANSPOSE(CN$3:CN$14))</f>
        <v>45</v>
      </c>
      <c r="CO30" s="3">
        <f t="array" ref="CO30">SUMPRODUCT($J30:$U30,TRANSPOSE(CO$3:CO$14))</f>
        <v>60</v>
      </c>
      <c r="CP30" s="3">
        <f t="array" ref="CP30">SUMPRODUCT($J30:$U30,TRANSPOSE(CP$3:CP$14))</f>
        <v>60</v>
      </c>
      <c r="CQ30" s="3">
        <f t="array" ref="CQ30">SUMPRODUCT($J30:$U30,TRANSPOSE(CQ$3:CQ$14))</f>
        <v>60</v>
      </c>
      <c r="CR30" s="3">
        <f t="array" ref="CR30">SUMPRODUCT($J30:$U30,TRANSPOSE(CR$3:CR$14))</f>
        <v>60</v>
      </c>
      <c r="CS30" s="3">
        <f t="array" ref="CS30">SUMPRODUCT($J30:$U30,TRANSPOSE(CS$3:CS$14))</f>
        <v>30</v>
      </c>
      <c r="CT30" s="3">
        <f t="array" ref="CT30">SUMPRODUCT($J30:$U30,TRANSPOSE(CT$3:CT$14))</f>
        <v>0</v>
      </c>
      <c r="CU30" s="3">
        <f t="array" ref="CU30">SUMPRODUCT($J30:$U30,TRANSPOSE(CU$3:CU$14))</f>
        <v>0</v>
      </c>
      <c r="CV30" s="3">
        <f t="array" ref="CV30">SUMPRODUCT($J30:$U30,TRANSPOSE(CV$3:CV$14))</f>
        <v>0</v>
      </c>
      <c r="CW30" s="3">
        <f t="array" ref="CW30">SUMPRODUCT($J30:$U30,TRANSPOSE(CW$3:CW$14))</f>
        <v>0</v>
      </c>
      <c r="CX30" s="3">
        <f t="array" ref="CX30">SUMPRODUCT($J30:$U30,TRANSPOSE(CX$3:CX$14))</f>
        <v>0</v>
      </c>
      <c r="CY30" s="3">
        <f t="array" ref="CY30">SUMPRODUCT($J30:$U30,TRANSPOSE(CY$3:CY$14))</f>
        <v>0</v>
      </c>
      <c r="CZ30" s="3">
        <f t="array" ref="CZ30">SUMPRODUCT($J30:$U30,TRANSPOSE(CZ$3:CZ$14))</f>
        <v>0</v>
      </c>
      <c r="DA30" s="3">
        <f t="array" ref="DA30">SUMPRODUCT($J30:$U30,TRANSPOSE(DA$3:DA$14))</f>
        <v>0</v>
      </c>
      <c r="DB30" s="3">
        <f t="array" ref="DB30">SUMPRODUCT($J30:$U30,TRANSPOSE(DB$3:DB$14))</f>
        <v>0</v>
      </c>
      <c r="DC30" s="3">
        <f t="array" ref="DC30">SUMPRODUCT($J30:$U30,TRANSPOSE(DC$3:DC$14))</f>
        <v>0</v>
      </c>
      <c r="DD30" s="3">
        <f t="array" ref="DD30">SUMPRODUCT($J30:$U30,TRANSPOSE(DD$3:DD$14))</f>
        <v>0</v>
      </c>
      <c r="DE30" s="3">
        <f t="array" ref="DE30">SUMPRODUCT($J30:$U30,TRANSPOSE(DE$3:DE$14))</f>
        <v>0</v>
      </c>
    </row>
    <row r="31" spans="1:109" ht="13.5" thickBot="1" x14ac:dyDescent="0.25">
      <c r="A31" s="3">
        <v>48</v>
      </c>
      <c r="B31" s="9" t="s">
        <v>393</v>
      </c>
      <c r="C31" s="3" t="s">
        <v>48</v>
      </c>
      <c r="D31" s="16">
        <v>412240968</v>
      </c>
      <c r="F31" s="3" t="s">
        <v>394</v>
      </c>
      <c r="G31" s="3" t="s">
        <v>14</v>
      </c>
      <c r="H31" s="3">
        <v>1</v>
      </c>
      <c r="I31" s="3">
        <v>1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f t="shared" si="37"/>
        <v>1</v>
      </c>
      <c r="W31" s="3">
        <f t="shared" si="38"/>
        <v>130</v>
      </c>
      <c r="X31" s="8" t="s">
        <v>363</v>
      </c>
      <c r="Y31" s="19">
        <v>55</v>
      </c>
      <c r="Z31" s="3" t="s">
        <v>395</v>
      </c>
      <c r="AA31" s="3" t="s">
        <v>396</v>
      </c>
      <c r="AB31" s="3" t="s">
        <v>397</v>
      </c>
      <c r="AC31" s="20" t="s">
        <v>398</v>
      </c>
      <c r="BJ31" s="3">
        <f>SUM($AE31,$AF31:AH31)-SUM($CH31:CK31)</f>
        <v>0</v>
      </c>
      <c r="BK31" s="3">
        <f>SUM($AE31,$AF31:AI31)-SUM($CH31:CL31)</f>
        <v>-10</v>
      </c>
      <c r="BL31" s="3">
        <f>SUM($AE31,$AF31:AJ31)-SUM($CH31:CM31)</f>
        <v>-25</v>
      </c>
      <c r="BM31" s="3">
        <f>SUM($AE31,$AF31:AK31)-SUM($CH31:CN31)</f>
        <v>-40</v>
      </c>
      <c r="BN31" s="3">
        <f>SUM($AE31,$AF31:AL31)-SUM($CH31:CO31)</f>
        <v>-60</v>
      </c>
      <c r="BO31" s="3">
        <f>SUM($AE31,$AF31:AM31)-SUM($CH31:CP31)</f>
        <v>-80</v>
      </c>
      <c r="BP31" s="3">
        <f>SUM($AE31,$AF31:AN31)-SUM($CH31:CQ31)</f>
        <v>-100</v>
      </c>
      <c r="BQ31" s="3">
        <f>SUM($AE31,$AF31:AO31)-SUM($CH31:CR31)</f>
        <v>-120</v>
      </c>
      <c r="BR31" s="3">
        <f>SUM($AE31,$AF31:AP31)-SUM($CH31:CS31)</f>
        <v>-130</v>
      </c>
      <c r="BS31" s="3">
        <f>SUM($AE31,$AF31:AQ31)-SUM($CH31:CT31)</f>
        <v>-130</v>
      </c>
      <c r="BT31" s="3">
        <f>SUM($AE31,$AF31:AR31)-SUM($CH31:CU31)</f>
        <v>-130</v>
      </c>
      <c r="BU31" s="3">
        <f>SUM($AE31,$AF31:AS31)-SUM($CH31:CV31)</f>
        <v>-130</v>
      </c>
      <c r="BV31" s="3">
        <f>SUM($AE31,$AF31:AT31)-SUM($CH31:CW31)</f>
        <v>-130</v>
      </c>
      <c r="BW31" s="3">
        <f>SUM($AE31,$AF31:AU31)-SUM($CH31:CX31)</f>
        <v>-130</v>
      </c>
      <c r="BX31" s="3">
        <f>SUM($AE31,$AF31:AV31)-SUM($CH31:CY31)</f>
        <v>-130</v>
      </c>
      <c r="BY31" s="3">
        <f>SUM($AE31,$AF31:AW31)-SUM($CH31:CZ31)</f>
        <v>-130</v>
      </c>
      <c r="BZ31" s="3">
        <f>SUM($AE31,$AF31:AX31)-SUM($CH31:DA31)</f>
        <v>-130</v>
      </c>
      <c r="CA31" s="3">
        <f>SUM($AE31,$AF31:AY31)-SUM($CH31:DB31)</f>
        <v>-130</v>
      </c>
      <c r="CB31" s="3">
        <f>SUM($AE31,$AF31:AZ31)-SUM($CH31:DC31)</f>
        <v>-130</v>
      </c>
      <c r="CC31" s="3">
        <f>SUM($AE31,$AF31:BA31)-SUM($CH31:DD31)</f>
        <v>-130</v>
      </c>
      <c r="CI31" s="3">
        <f t="array" ref="CI31">SUMPRODUCT($J31:$U31,TRANSPOSE(CI$3:CI$14))</f>
        <v>0</v>
      </c>
      <c r="CJ31" s="3">
        <f t="array" ref="CJ31">SUMPRODUCT($J31:$U31,TRANSPOSE(CJ$3:CJ$14))</f>
        <v>0</v>
      </c>
      <c r="CK31" s="3">
        <f t="array" ref="CK31">SUMPRODUCT($J31:$U31,TRANSPOSE(CK$3:CK$14))</f>
        <v>0</v>
      </c>
      <c r="CL31" s="3">
        <f t="array" ref="CL31">SUMPRODUCT($J31:$U31,TRANSPOSE(CL$3:CL$14))</f>
        <v>10</v>
      </c>
      <c r="CM31" s="3">
        <f t="array" ref="CM31">SUMPRODUCT($J31:$U31,TRANSPOSE(CM$3:CM$14))</f>
        <v>15</v>
      </c>
      <c r="CN31" s="3">
        <f t="array" ref="CN31">SUMPRODUCT($J31:$U31,TRANSPOSE(CN$3:CN$14))</f>
        <v>15</v>
      </c>
      <c r="CO31" s="3">
        <f t="array" ref="CO31">SUMPRODUCT($J31:$U31,TRANSPOSE(CO$3:CO$14))</f>
        <v>20</v>
      </c>
      <c r="CP31" s="3">
        <f t="array" ref="CP31">SUMPRODUCT($J31:$U31,TRANSPOSE(CP$3:CP$14))</f>
        <v>20</v>
      </c>
      <c r="CQ31" s="3">
        <f t="array" ref="CQ31">SUMPRODUCT($J31:$U31,TRANSPOSE(CQ$3:CQ$14))</f>
        <v>20</v>
      </c>
      <c r="CR31" s="3">
        <f t="array" ref="CR31">SUMPRODUCT($J31:$U31,TRANSPOSE(CR$3:CR$14))</f>
        <v>20</v>
      </c>
      <c r="CS31" s="3">
        <f t="array" ref="CS31">SUMPRODUCT($J31:$U31,TRANSPOSE(CS$3:CS$14))</f>
        <v>10</v>
      </c>
      <c r="CT31" s="3">
        <f t="array" ref="CT31">SUMPRODUCT($J31:$U31,TRANSPOSE(CT$3:CT$14))</f>
        <v>0</v>
      </c>
      <c r="CU31" s="3">
        <f t="array" ref="CU31">SUMPRODUCT($J31:$U31,TRANSPOSE(CU$3:CU$14))</f>
        <v>0</v>
      </c>
      <c r="CV31" s="3">
        <f t="array" ref="CV31">SUMPRODUCT($J31:$U31,TRANSPOSE(CV$3:CV$14))</f>
        <v>0</v>
      </c>
      <c r="CW31" s="3">
        <f t="array" ref="CW31">SUMPRODUCT($J31:$U31,TRANSPOSE(CW$3:CW$14))</f>
        <v>0</v>
      </c>
      <c r="CX31" s="3">
        <f t="array" ref="CX31">SUMPRODUCT($J31:$U31,TRANSPOSE(CX$3:CX$14))</f>
        <v>0</v>
      </c>
      <c r="CY31" s="3">
        <f t="array" ref="CY31">SUMPRODUCT($J31:$U31,TRANSPOSE(CY$3:CY$14))</f>
        <v>0</v>
      </c>
      <c r="CZ31" s="3">
        <f t="array" ref="CZ31">SUMPRODUCT($J31:$U31,TRANSPOSE(CZ$3:CZ$14))</f>
        <v>0</v>
      </c>
      <c r="DA31" s="3">
        <f t="array" ref="DA31">SUMPRODUCT($J31:$U31,TRANSPOSE(DA$3:DA$14))</f>
        <v>0</v>
      </c>
      <c r="DB31" s="3">
        <f t="array" ref="DB31">SUMPRODUCT($J31:$U31,TRANSPOSE(DB$3:DB$14))</f>
        <v>0</v>
      </c>
      <c r="DC31" s="3">
        <f t="array" ref="DC31">SUMPRODUCT($J31:$U31,TRANSPOSE(DC$3:DC$14))</f>
        <v>0</v>
      </c>
      <c r="DD31" s="3">
        <f t="array" ref="DD31">SUMPRODUCT($J31:$U31,TRANSPOSE(DD$3:DD$14))</f>
        <v>0</v>
      </c>
      <c r="DE31" s="3">
        <f t="array" ref="DE31">SUMPRODUCT($J31:$U31,TRANSPOSE(DE$3:DE$14))</f>
        <v>0</v>
      </c>
    </row>
    <row r="32" spans="1:109" ht="13.5" thickBot="1" x14ac:dyDescent="0.25">
      <c r="A32" s="3">
        <v>49</v>
      </c>
      <c r="B32" s="9" t="s">
        <v>399</v>
      </c>
      <c r="C32" s="3" t="s">
        <v>48</v>
      </c>
      <c r="D32" s="16">
        <v>412240974</v>
      </c>
      <c r="F32" s="3" t="s">
        <v>400</v>
      </c>
      <c r="G32" s="3" t="s">
        <v>14</v>
      </c>
      <c r="H32" s="3">
        <v>1</v>
      </c>
      <c r="I32" s="3">
        <v>1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f t="shared" si="37"/>
        <v>1</v>
      </c>
      <c r="W32" s="3">
        <f t="shared" si="38"/>
        <v>130</v>
      </c>
      <c r="X32" s="8" t="s">
        <v>363</v>
      </c>
      <c r="Y32" s="19">
        <v>55</v>
      </c>
      <c r="Z32" s="3" t="s">
        <v>395</v>
      </c>
      <c r="AA32" s="3" t="s">
        <v>396</v>
      </c>
      <c r="AB32" s="3" t="s">
        <v>397</v>
      </c>
      <c r="AC32" s="23" t="s">
        <v>398</v>
      </c>
      <c r="BJ32" s="3">
        <f>SUM($AE32,$AF32:AH32)-SUM($CH32:CK32)</f>
        <v>0</v>
      </c>
      <c r="BK32" s="3">
        <f>SUM($AE32,$AF32:AI32)-SUM($CH32:CL32)</f>
        <v>-10</v>
      </c>
      <c r="BL32" s="3">
        <f>SUM($AE32,$AF32:AJ32)-SUM($CH32:CM32)</f>
        <v>-25</v>
      </c>
      <c r="BM32" s="3">
        <f>SUM($AE32,$AF32:AK32)-SUM($CH32:CN32)</f>
        <v>-40</v>
      </c>
      <c r="BN32" s="3">
        <f>SUM($AE32,$AF32:AL32)-SUM($CH32:CO32)</f>
        <v>-60</v>
      </c>
      <c r="BO32" s="3">
        <f>SUM($AE32,$AF32:AM32)-SUM($CH32:CP32)</f>
        <v>-80</v>
      </c>
      <c r="BP32" s="3">
        <f>SUM($AE32,$AF32:AN32)-SUM($CH32:CQ32)</f>
        <v>-100</v>
      </c>
      <c r="BQ32" s="3">
        <f>SUM($AE32,$AF32:AO32)-SUM($CH32:CR32)</f>
        <v>-120</v>
      </c>
      <c r="BR32" s="3">
        <f>SUM($AE32,$AF32:AP32)-SUM($CH32:CS32)</f>
        <v>-130</v>
      </c>
      <c r="BS32" s="3">
        <f>SUM($AE32,$AF32:AQ32)-SUM($CH32:CT32)</f>
        <v>-130</v>
      </c>
      <c r="BT32" s="3">
        <f>SUM($AE32,$AF32:AR32)-SUM($CH32:CU32)</f>
        <v>-130</v>
      </c>
      <c r="BU32" s="3">
        <f>SUM($AE32,$AF32:AS32)-SUM($CH32:CV32)</f>
        <v>-130</v>
      </c>
      <c r="BV32" s="3">
        <f>SUM($AE32,$AF32:AT32)-SUM($CH32:CW32)</f>
        <v>-130</v>
      </c>
      <c r="BW32" s="3">
        <f>SUM($AE32,$AF32:AU32)-SUM($CH32:CX32)</f>
        <v>-130</v>
      </c>
      <c r="BX32" s="3">
        <f>SUM($AE32,$AF32:AV32)-SUM($CH32:CY32)</f>
        <v>-130</v>
      </c>
      <c r="BY32" s="3">
        <f>SUM($AE32,$AF32:AW32)-SUM($CH32:CZ32)</f>
        <v>-130</v>
      </c>
      <c r="BZ32" s="3">
        <f>SUM($AE32,$AF32:AX32)-SUM($CH32:DA32)</f>
        <v>-130</v>
      </c>
      <c r="CA32" s="3">
        <f>SUM($AE32,$AF32:AY32)-SUM($CH32:DB32)</f>
        <v>-130</v>
      </c>
      <c r="CB32" s="3">
        <f>SUM($AE32,$AF32:AZ32)-SUM($CH32:DC32)</f>
        <v>-130</v>
      </c>
      <c r="CC32" s="3">
        <f>SUM($AE32,$AF32:BA32)-SUM($CH32:DD32)</f>
        <v>-130</v>
      </c>
      <c r="CI32" s="3">
        <f t="array" ref="CI32">SUMPRODUCT($J32:$U32,TRANSPOSE(CI$3:CI$14))</f>
        <v>0</v>
      </c>
      <c r="CJ32" s="3">
        <f t="array" ref="CJ32">SUMPRODUCT($J32:$U32,TRANSPOSE(CJ$3:CJ$14))</f>
        <v>0</v>
      </c>
      <c r="CK32" s="3">
        <f t="array" ref="CK32">SUMPRODUCT($J32:$U32,TRANSPOSE(CK$3:CK$14))</f>
        <v>0</v>
      </c>
      <c r="CL32" s="3">
        <f t="array" ref="CL32">SUMPRODUCT($J32:$U32,TRANSPOSE(CL$3:CL$14))</f>
        <v>10</v>
      </c>
      <c r="CM32" s="3">
        <f t="array" ref="CM32">SUMPRODUCT($J32:$U32,TRANSPOSE(CM$3:CM$14))</f>
        <v>15</v>
      </c>
      <c r="CN32" s="3">
        <f t="array" ref="CN32">SUMPRODUCT($J32:$U32,TRANSPOSE(CN$3:CN$14))</f>
        <v>15</v>
      </c>
      <c r="CO32" s="3">
        <f t="array" ref="CO32">SUMPRODUCT($J32:$U32,TRANSPOSE(CO$3:CO$14))</f>
        <v>20</v>
      </c>
      <c r="CP32" s="3">
        <f t="array" ref="CP32">SUMPRODUCT($J32:$U32,TRANSPOSE(CP$3:CP$14))</f>
        <v>20</v>
      </c>
      <c r="CQ32" s="3">
        <f t="array" ref="CQ32">SUMPRODUCT($J32:$U32,TRANSPOSE(CQ$3:CQ$14))</f>
        <v>20</v>
      </c>
      <c r="CR32" s="3">
        <f t="array" ref="CR32">SUMPRODUCT($J32:$U32,TRANSPOSE(CR$3:CR$14))</f>
        <v>20</v>
      </c>
      <c r="CS32" s="3">
        <f t="array" ref="CS32">SUMPRODUCT($J32:$U32,TRANSPOSE(CS$3:CS$14))</f>
        <v>10</v>
      </c>
      <c r="CT32" s="3">
        <f t="array" ref="CT32">SUMPRODUCT($J32:$U32,TRANSPOSE(CT$3:CT$14))</f>
        <v>0</v>
      </c>
      <c r="CU32" s="3">
        <f t="array" ref="CU32">SUMPRODUCT($J32:$U32,TRANSPOSE(CU$3:CU$14))</f>
        <v>0</v>
      </c>
      <c r="CV32" s="3">
        <f t="array" ref="CV32">SUMPRODUCT($J32:$U32,TRANSPOSE(CV$3:CV$14))</f>
        <v>0</v>
      </c>
      <c r="CW32" s="3">
        <f t="array" ref="CW32">SUMPRODUCT($J32:$U32,TRANSPOSE(CW$3:CW$14))</f>
        <v>0</v>
      </c>
      <c r="CX32" s="3">
        <f t="array" ref="CX32">SUMPRODUCT($J32:$U32,TRANSPOSE(CX$3:CX$14))</f>
        <v>0</v>
      </c>
      <c r="CY32" s="3">
        <f t="array" ref="CY32">SUMPRODUCT($J32:$U32,TRANSPOSE(CY$3:CY$14))</f>
        <v>0</v>
      </c>
      <c r="CZ32" s="3">
        <f t="array" ref="CZ32">SUMPRODUCT($J32:$U32,TRANSPOSE(CZ$3:CZ$14))</f>
        <v>0</v>
      </c>
      <c r="DA32" s="3">
        <f t="array" ref="DA32">SUMPRODUCT($J32:$U32,TRANSPOSE(DA$3:DA$14))</f>
        <v>0</v>
      </c>
      <c r="DB32" s="3">
        <f t="array" ref="DB32">SUMPRODUCT($J32:$U32,TRANSPOSE(DB$3:DB$14))</f>
        <v>0</v>
      </c>
      <c r="DC32" s="3">
        <f t="array" ref="DC32">SUMPRODUCT($J32:$U32,TRANSPOSE(DC$3:DC$14))</f>
        <v>0</v>
      </c>
      <c r="DD32" s="3">
        <f t="array" ref="DD32">SUMPRODUCT($J32:$U32,TRANSPOSE(DD$3:DD$14))</f>
        <v>0</v>
      </c>
      <c r="DE32" s="3">
        <f t="array" ref="DE32">SUMPRODUCT($J32:$U32,TRANSPOSE(DE$3:DE$14))</f>
        <v>0</v>
      </c>
    </row>
    <row r="33" spans="1:109" ht="13.5" thickBot="1" x14ac:dyDescent="0.25">
      <c r="A33" s="3">
        <v>50</v>
      </c>
      <c r="B33" s="9" t="s">
        <v>401</v>
      </c>
      <c r="C33" s="3" t="s">
        <v>48</v>
      </c>
      <c r="D33" s="16">
        <v>412240975</v>
      </c>
      <c r="F33" s="3" t="s">
        <v>402</v>
      </c>
      <c r="G33" s="3" t="s">
        <v>14</v>
      </c>
      <c r="H33" s="3">
        <v>1</v>
      </c>
      <c r="I33" s="3">
        <v>1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f t="shared" si="37"/>
        <v>1</v>
      </c>
      <c r="W33" s="3">
        <f t="shared" si="38"/>
        <v>130</v>
      </c>
      <c r="X33" s="8" t="s">
        <v>363</v>
      </c>
      <c r="Y33" s="19">
        <v>55</v>
      </c>
      <c r="Z33" s="3" t="s">
        <v>395</v>
      </c>
      <c r="AA33" s="3" t="s">
        <v>396</v>
      </c>
      <c r="AB33" s="3" t="s">
        <v>397</v>
      </c>
      <c r="AC33" s="23" t="s">
        <v>398</v>
      </c>
      <c r="BJ33" s="3">
        <f>SUM($AE33,$AF33:AH33)-SUM($CH33:CK33)</f>
        <v>0</v>
      </c>
      <c r="BK33" s="3">
        <f>SUM($AE33,$AF33:AI33)-SUM($CH33:CL33)</f>
        <v>-10</v>
      </c>
      <c r="BL33" s="3">
        <f>SUM($AE33,$AF33:AJ33)-SUM($CH33:CM33)</f>
        <v>-25</v>
      </c>
      <c r="BM33" s="3">
        <f>SUM($AE33,$AF33:AK33)-SUM($CH33:CN33)</f>
        <v>-40</v>
      </c>
      <c r="BN33" s="3">
        <f>SUM($AE33,$AF33:AL33)-SUM($CH33:CO33)</f>
        <v>-60</v>
      </c>
      <c r="BO33" s="3">
        <f>SUM($AE33,$AF33:AM33)-SUM($CH33:CP33)</f>
        <v>-80</v>
      </c>
      <c r="BP33" s="3">
        <f>SUM($AE33,$AF33:AN33)-SUM($CH33:CQ33)</f>
        <v>-100</v>
      </c>
      <c r="BQ33" s="3">
        <f>SUM($AE33,$AF33:AO33)-SUM($CH33:CR33)</f>
        <v>-120</v>
      </c>
      <c r="BR33" s="3">
        <f>SUM($AE33,$AF33:AP33)-SUM($CH33:CS33)</f>
        <v>-130</v>
      </c>
      <c r="BS33" s="3">
        <f>SUM($AE33,$AF33:AQ33)-SUM($CH33:CT33)</f>
        <v>-130</v>
      </c>
      <c r="BT33" s="3">
        <f>SUM($AE33,$AF33:AR33)-SUM($CH33:CU33)</f>
        <v>-130</v>
      </c>
      <c r="BU33" s="3">
        <f>SUM($AE33,$AF33:AS33)-SUM($CH33:CV33)</f>
        <v>-130</v>
      </c>
      <c r="BV33" s="3">
        <f>SUM($AE33,$AF33:AT33)-SUM($CH33:CW33)</f>
        <v>-130</v>
      </c>
      <c r="BW33" s="3">
        <f>SUM($AE33,$AF33:AU33)-SUM($CH33:CX33)</f>
        <v>-130</v>
      </c>
      <c r="BX33" s="3">
        <f>SUM($AE33,$AF33:AV33)-SUM($CH33:CY33)</f>
        <v>-130</v>
      </c>
      <c r="BY33" s="3">
        <f>SUM($AE33,$AF33:AW33)-SUM($CH33:CZ33)</f>
        <v>-130</v>
      </c>
      <c r="BZ33" s="3">
        <f>SUM($AE33,$AF33:AX33)-SUM($CH33:DA33)</f>
        <v>-130</v>
      </c>
      <c r="CA33" s="3">
        <f>SUM($AE33,$AF33:AY33)-SUM($CH33:DB33)</f>
        <v>-130</v>
      </c>
      <c r="CB33" s="3">
        <f>SUM($AE33,$AF33:AZ33)-SUM($CH33:DC33)</f>
        <v>-130</v>
      </c>
      <c r="CC33" s="3">
        <f>SUM($AE33,$AF33:BA33)-SUM($CH33:DD33)</f>
        <v>-130</v>
      </c>
      <c r="CI33" s="3">
        <f t="array" ref="CI33">SUMPRODUCT($J33:$U33,TRANSPOSE(CI$3:CI$14))</f>
        <v>0</v>
      </c>
      <c r="CJ33" s="3">
        <f t="array" ref="CJ33">SUMPRODUCT($J33:$U33,TRANSPOSE(CJ$3:CJ$14))</f>
        <v>0</v>
      </c>
      <c r="CK33" s="3">
        <f t="array" ref="CK33">SUMPRODUCT($J33:$U33,TRANSPOSE(CK$3:CK$14))</f>
        <v>0</v>
      </c>
      <c r="CL33" s="3">
        <f t="array" ref="CL33">SUMPRODUCT($J33:$U33,TRANSPOSE(CL$3:CL$14))</f>
        <v>10</v>
      </c>
      <c r="CM33" s="3">
        <f t="array" ref="CM33">SUMPRODUCT($J33:$U33,TRANSPOSE(CM$3:CM$14))</f>
        <v>15</v>
      </c>
      <c r="CN33" s="3">
        <f t="array" ref="CN33">SUMPRODUCT($J33:$U33,TRANSPOSE(CN$3:CN$14))</f>
        <v>15</v>
      </c>
      <c r="CO33" s="3">
        <f t="array" ref="CO33">SUMPRODUCT($J33:$U33,TRANSPOSE(CO$3:CO$14))</f>
        <v>20</v>
      </c>
      <c r="CP33" s="3">
        <f t="array" ref="CP33">SUMPRODUCT($J33:$U33,TRANSPOSE(CP$3:CP$14))</f>
        <v>20</v>
      </c>
      <c r="CQ33" s="3">
        <f t="array" ref="CQ33">SUMPRODUCT($J33:$U33,TRANSPOSE(CQ$3:CQ$14))</f>
        <v>20</v>
      </c>
      <c r="CR33" s="3">
        <f t="array" ref="CR33">SUMPRODUCT($J33:$U33,TRANSPOSE(CR$3:CR$14))</f>
        <v>20</v>
      </c>
      <c r="CS33" s="3">
        <f t="array" ref="CS33">SUMPRODUCT($J33:$U33,TRANSPOSE(CS$3:CS$14))</f>
        <v>10</v>
      </c>
      <c r="CT33" s="3">
        <f t="array" ref="CT33">SUMPRODUCT($J33:$U33,TRANSPOSE(CT$3:CT$14))</f>
        <v>0</v>
      </c>
      <c r="CU33" s="3">
        <f t="array" ref="CU33">SUMPRODUCT($J33:$U33,TRANSPOSE(CU$3:CU$14))</f>
        <v>0</v>
      </c>
      <c r="CV33" s="3">
        <f t="array" ref="CV33">SUMPRODUCT($J33:$U33,TRANSPOSE(CV$3:CV$14))</f>
        <v>0</v>
      </c>
      <c r="CW33" s="3">
        <f t="array" ref="CW33">SUMPRODUCT($J33:$U33,TRANSPOSE(CW$3:CW$14))</f>
        <v>0</v>
      </c>
      <c r="CX33" s="3">
        <f t="array" ref="CX33">SUMPRODUCT($J33:$U33,TRANSPOSE(CX$3:CX$14))</f>
        <v>0</v>
      </c>
      <c r="CY33" s="3">
        <f t="array" ref="CY33">SUMPRODUCT($J33:$U33,TRANSPOSE(CY$3:CY$14))</f>
        <v>0</v>
      </c>
      <c r="CZ33" s="3">
        <f t="array" ref="CZ33">SUMPRODUCT($J33:$U33,TRANSPOSE(CZ$3:CZ$14))</f>
        <v>0</v>
      </c>
      <c r="DA33" s="3">
        <f t="array" ref="DA33">SUMPRODUCT($J33:$U33,TRANSPOSE(DA$3:DA$14))</f>
        <v>0</v>
      </c>
      <c r="DB33" s="3">
        <f t="array" ref="DB33">SUMPRODUCT($J33:$U33,TRANSPOSE(DB$3:DB$14))</f>
        <v>0</v>
      </c>
      <c r="DC33" s="3">
        <f t="array" ref="DC33">SUMPRODUCT($J33:$U33,TRANSPOSE(DC$3:DC$14))</f>
        <v>0</v>
      </c>
      <c r="DD33" s="3">
        <f t="array" ref="DD33">SUMPRODUCT($J33:$U33,TRANSPOSE(DD$3:DD$14))</f>
        <v>0</v>
      </c>
      <c r="DE33" s="3">
        <f t="array" ref="DE33">SUMPRODUCT($J33:$U33,TRANSPOSE(DE$3:DE$14))</f>
        <v>0</v>
      </c>
    </row>
    <row r="34" spans="1:109" ht="13.5" thickBot="1" x14ac:dyDescent="0.25">
      <c r="A34" s="3">
        <v>51</v>
      </c>
      <c r="B34" s="9" t="s">
        <v>403</v>
      </c>
      <c r="C34" s="3" t="s">
        <v>48</v>
      </c>
      <c r="D34" s="16">
        <v>412240980</v>
      </c>
      <c r="F34" s="3" t="s">
        <v>404</v>
      </c>
      <c r="G34" s="3" t="s">
        <v>14</v>
      </c>
      <c r="H34" s="3">
        <v>1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f t="shared" si="37"/>
        <v>1</v>
      </c>
      <c r="W34" s="3">
        <f t="shared" si="38"/>
        <v>130</v>
      </c>
      <c r="X34" s="8" t="s">
        <v>363</v>
      </c>
      <c r="Y34" s="19">
        <v>55</v>
      </c>
      <c r="Z34" s="3" t="s">
        <v>395</v>
      </c>
      <c r="AA34" s="3" t="s">
        <v>396</v>
      </c>
      <c r="AB34" s="3" t="s">
        <v>397</v>
      </c>
      <c r="AC34" s="23" t="s">
        <v>398</v>
      </c>
      <c r="BJ34" s="3">
        <f>SUM($AE34,$AF34:AH34)-SUM($CH34:CK34)</f>
        <v>0</v>
      </c>
      <c r="BK34" s="3">
        <f>SUM($AE34,$AF34:AI34)-SUM($CH34:CL34)</f>
        <v>-10</v>
      </c>
      <c r="BL34" s="3">
        <f>SUM($AE34,$AF34:AJ34)-SUM($CH34:CM34)</f>
        <v>-25</v>
      </c>
      <c r="BM34" s="3">
        <f>SUM($AE34,$AF34:AK34)-SUM($CH34:CN34)</f>
        <v>-40</v>
      </c>
      <c r="BN34" s="3">
        <f>SUM($AE34,$AF34:AL34)-SUM($CH34:CO34)</f>
        <v>-60</v>
      </c>
      <c r="BO34" s="3">
        <f>SUM($AE34,$AF34:AM34)-SUM($CH34:CP34)</f>
        <v>-80</v>
      </c>
      <c r="BP34" s="3">
        <f>SUM($AE34,$AF34:AN34)-SUM($CH34:CQ34)</f>
        <v>-100</v>
      </c>
      <c r="BQ34" s="3">
        <f>SUM($AE34,$AF34:AO34)-SUM($CH34:CR34)</f>
        <v>-120</v>
      </c>
      <c r="BR34" s="3">
        <f>SUM($AE34,$AF34:AP34)-SUM($CH34:CS34)</f>
        <v>-130</v>
      </c>
      <c r="BS34" s="3">
        <f>SUM($AE34,$AF34:AQ34)-SUM($CH34:CT34)</f>
        <v>-130</v>
      </c>
      <c r="BT34" s="3">
        <f>SUM($AE34,$AF34:AR34)-SUM($CH34:CU34)</f>
        <v>-130</v>
      </c>
      <c r="BU34" s="3">
        <f>SUM($AE34,$AF34:AS34)-SUM($CH34:CV34)</f>
        <v>-130</v>
      </c>
      <c r="BV34" s="3">
        <f>SUM($AE34,$AF34:AT34)-SUM($CH34:CW34)</f>
        <v>-130</v>
      </c>
      <c r="BW34" s="3">
        <f>SUM($AE34,$AF34:AU34)-SUM($CH34:CX34)</f>
        <v>-130</v>
      </c>
      <c r="BX34" s="3">
        <f>SUM($AE34,$AF34:AV34)-SUM($CH34:CY34)</f>
        <v>-130</v>
      </c>
      <c r="BY34" s="3">
        <f>SUM($AE34,$AF34:AW34)-SUM($CH34:CZ34)</f>
        <v>-130</v>
      </c>
      <c r="BZ34" s="3">
        <f>SUM($AE34,$AF34:AX34)-SUM($CH34:DA34)</f>
        <v>-130</v>
      </c>
      <c r="CA34" s="3">
        <f>SUM($AE34,$AF34:AY34)-SUM($CH34:DB34)</f>
        <v>-130</v>
      </c>
      <c r="CB34" s="3">
        <f>SUM($AE34,$AF34:AZ34)-SUM($CH34:DC34)</f>
        <v>-130</v>
      </c>
      <c r="CC34" s="3">
        <f>SUM($AE34,$AF34:BA34)-SUM($CH34:DD34)</f>
        <v>-130</v>
      </c>
      <c r="CI34" s="3">
        <f t="array" ref="CI34">SUMPRODUCT($J34:$U34,TRANSPOSE(CI$3:CI$14))</f>
        <v>0</v>
      </c>
      <c r="CJ34" s="3">
        <f t="array" ref="CJ34">SUMPRODUCT($J34:$U34,TRANSPOSE(CJ$3:CJ$14))</f>
        <v>0</v>
      </c>
      <c r="CK34" s="3">
        <f t="array" ref="CK34">SUMPRODUCT($J34:$U34,TRANSPOSE(CK$3:CK$14))</f>
        <v>0</v>
      </c>
      <c r="CL34" s="3">
        <f t="array" ref="CL34">SUMPRODUCT($J34:$U34,TRANSPOSE(CL$3:CL$14))</f>
        <v>10</v>
      </c>
      <c r="CM34" s="3">
        <f t="array" ref="CM34">SUMPRODUCT($J34:$U34,TRANSPOSE(CM$3:CM$14))</f>
        <v>15</v>
      </c>
      <c r="CN34" s="3">
        <f t="array" ref="CN34">SUMPRODUCT($J34:$U34,TRANSPOSE(CN$3:CN$14))</f>
        <v>15</v>
      </c>
      <c r="CO34" s="3">
        <f t="array" ref="CO34">SUMPRODUCT($J34:$U34,TRANSPOSE(CO$3:CO$14))</f>
        <v>20</v>
      </c>
      <c r="CP34" s="3">
        <f t="array" ref="CP34">SUMPRODUCT($J34:$U34,TRANSPOSE(CP$3:CP$14))</f>
        <v>20</v>
      </c>
      <c r="CQ34" s="3">
        <f t="array" ref="CQ34">SUMPRODUCT($J34:$U34,TRANSPOSE(CQ$3:CQ$14))</f>
        <v>20</v>
      </c>
      <c r="CR34" s="3">
        <f t="array" ref="CR34">SUMPRODUCT($J34:$U34,TRANSPOSE(CR$3:CR$14))</f>
        <v>20</v>
      </c>
      <c r="CS34" s="3">
        <f t="array" ref="CS34">SUMPRODUCT($J34:$U34,TRANSPOSE(CS$3:CS$14))</f>
        <v>10</v>
      </c>
      <c r="CT34" s="3">
        <f t="array" ref="CT34">SUMPRODUCT($J34:$U34,TRANSPOSE(CT$3:CT$14))</f>
        <v>0</v>
      </c>
      <c r="CU34" s="3">
        <f t="array" ref="CU34">SUMPRODUCT($J34:$U34,TRANSPOSE(CU$3:CU$14))</f>
        <v>0</v>
      </c>
      <c r="CV34" s="3">
        <f t="array" ref="CV34">SUMPRODUCT($J34:$U34,TRANSPOSE(CV$3:CV$14))</f>
        <v>0</v>
      </c>
      <c r="CW34" s="3">
        <f t="array" ref="CW34">SUMPRODUCT($J34:$U34,TRANSPOSE(CW$3:CW$14))</f>
        <v>0</v>
      </c>
      <c r="CX34" s="3">
        <f t="array" ref="CX34">SUMPRODUCT($J34:$U34,TRANSPOSE(CX$3:CX$14))</f>
        <v>0</v>
      </c>
      <c r="CY34" s="3">
        <f t="array" ref="CY34">SUMPRODUCT($J34:$U34,TRANSPOSE(CY$3:CY$14))</f>
        <v>0</v>
      </c>
      <c r="CZ34" s="3">
        <f t="array" ref="CZ34">SUMPRODUCT($J34:$U34,TRANSPOSE(CZ$3:CZ$14))</f>
        <v>0</v>
      </c>
      <c r="DA34" s="3">
        <f t="array" ref="DA34">SUMPRODUCT($J34:$U34,TRANSPOSE(DA$3:DA$14))</f>
        <v>0</v>
      </c>
      <c r="DB34" s="3">
        <f t="array" ref="DB34">SUMPRODUCT($J34:$U34,TRANSPOSE(DB$3:DB$14))</f>
        <v>0</v>
      </c>
      <c r="DC34" s="3">
        <f t="array" ref="DC34">SUMPRODUCT($J34:$U34,TRANSPOSE(DC$3:DC$14))</f>
        <v>0</v>
      </c>
      <c r="DD34" s="3">
        <f t="array" ref="DD34">SUMPRODUCT($J34:$U34,TRANSPOSE(DD$3:DD$14))</f>
        <v>0</v>
      </c>
      <c r="DE34" s="3">
        <f t="array" ref="DE34">SUMPRODUCT($J34:$U34,TRANSPOSE(DE$3:DE$14))</f>
        <v>0</v>
      </c>
    </row>
    <row r="35" spans="1:109" ht="13.5" thickBot="1" x14ac:dyDescent="0.25">
      <c r="A35" s="3">
        <v>52</v>
      </c>
      <c r="B35" s="9" t="s">
        <v>405</v>
      </c>
      <c r="C35" s="3" t="s">
        <v>48</v>
      </c>
      <c r="D35" s="16">
        <v>412240981</v>
      </c>
      <c r="F35" s="3" t="s">
        <v>406</v>
      </c>
      <c r="G35" s="3" t="s">
        <v>14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f t="shared" si="37"/>
        <v>1</v>
      </c>
      <c r="W35" s="3">
        <f t="shared" si="38"/>
        <v>130</v>
      </c>
      <c r="X35" s="8" t="s">
        <v>363</v>
      </c>
      <c r="Y35" s="19">
        <v>55</v>
      </c>
      <c r="Z35" s="3" t="s">
        <v>395</v>
      </c>
      <c r="AA35" s="3" t="s">
        <v>396</v>
      </c>
      <c r="AB35" s="3" t="s">
        <v>397</v>
      </c>
      <c r="AC35" s="23" t="s">
        <v>398</v>
      </c>
      <c r="BJ35" s="3">
        <f>SUM($AE35,$AF35:AH35)-SUM($CH35:CK35)</f>
        <v>0</v>
      </c>
      <c r="BK35" s="3">
        <f>SUM($AE35,$AF35:AI35)-SUM($CH35:CL35)</f>
        <v>-10</v>
      </c>
      <c r="BL35" s="3">
        <f>SUM($AE35,$AF35:AJ35)-SUM($CH35:CM35)</f>
        <v>-25</v>
      </c>
      <c r="BM35" s="3">
        <f>SUM($AE35,$AF35:AK35)-SUM($CH35:CN35)</f>
        <v>-40</v>
      </c>
      <c r="BN35" s="3">
        <f>SUM($AE35,$AF35:AL35)-SUM($CH35:CO35)</f>
        <v>-60</v>
      </c>
      <c r="BO35" s="3">
        <f>SUM($AE35,$AF35:AM35)-SUM($CH35:CP35)</f>
        <v>-80</v>
      </c>
      <c r="BP35" s="3">
        <f>SUM($AE35,$AF35:AN35)-SUM($CH35:CQ35)</f>
        <v>-100</v>
      </c>
      <c r="BQ35" s="3">
        <f>SUM($AE35,$AF35:AO35)-SUM($CH35:CR35)</f>
        <v>-120</v>
      </c>
      <c r="BR35" s="3">
        <f>SUM($AE35,$AF35:AP35)-SUM($CH35:CS35)</f>
        <v>-130</v>
      </c>
      <c r="BS35" s="3">
        <f>SUM($AE35,$AF35:AQ35)-SUM($CH35:CT35)</f>
        <v>-130</v>
      </c>
      <c r="BT35" s="3">
        <f>SUM($AE35,$AF35:AR35)-SUM($CH35:CU35)</f>
        <v>-130</v>
      </c>
      <c r="BU35" s="3">
        <f>SUM($AE35,$AF35:AS35)-SUM($CH35:CV35)</f>
        <v>-130</v>
      </c>
      <c r="BV35" s="3">
        <f>SUM($AE35,$AF35:AT35)-SUM($CH35:CW35)</f>
        <v>-130</v>
      </c>
      <c r="BW35" s="3">
        <f>SUM($AE35,$AF35:AU35)-SUM($CH35:CX35)</f>
        <v>-130</v>
      </c>
      <c r="BX35" s="3">
        <f>SUM($AE35,$AF35:AV35)-SUM($CH35:CY35)</f>
        <v>-130</v>
      </c>
      <c r="BY35" s="3">
        <f>SUM($AE35,$AF35:AW35)-SUM($CH35:CZ35)</f>
        <v>-130</v>
      </c>
      <c r="BZ35" s="3">
        <f>SUM($AE35,$AF35:AX35)-SUM($CH35:DA35)</f>
        <v>-130</v>
      </c>
      <c r="CA35" s="3">
        <f>SUM($AE35,$AF35:AY35)-SUM($CH35:DB35)</f>
        <v>-130</v>
      </c>
      <c r="CB35" s="3">
        <f>SUM($AE35,$AF35:AZ35)-SUM($CH35:DC35)</f>
        <v>-130</v>
      </c>
      <c r="CC35" s="3">
        <f>SUM($AE35,$AF35:BA35)-SUM($CH35:DD35)</f>
        <v>-130</v>
      </c>
      <c r="CI35" s="3">
        <f t="array" ref="CI35">SUMPRODUCT($J35:$U35,TRANSPOSE(CI$3:CI$14))</f>
        <v>0</v>
      </c>
      <c r="CJ35" s="3">
        <f t="array" ref="CJ35">SUMPRODUCT($J35:$U35,TRANSPOSE(CJ$3:CJ$14))</f>
        <v>0</v>
      </c>
      <c r="CK35" s="3">
        <f t="array" ref="CK35">SUMPRODUCT($J35:$U35,TRANSPOSE(CK$3:CK$14))</f>
        <v>0</v>
      </c>
      <c r="CL35" s="3">
        <f t="array" ref="CL35">SUMPRODUCT($J35:$U35,TRANSPOSE(CL$3:CL$14))</f>
        <v>10</v>
      </c>
      <c r="CM35" s="3">
        <f t="array" ref="CM35">SUMPRODUCT($J35:$U35,TRANSPOSE(CM$3:CM$14))</f>
        <v>15</v>
      </c>
      <c r="CN35" s="3">
        <f t="array" ref="CN35">SUMPRODUCT($J35:$U35,TRANSPOSE(CN$3:CN$14))</f>
        <v>15</v>
      </c>
      <c r="CO35" s="3">
        <f t="array" ref="CO35">SUMPRODUCT($J35:$U35,TRANSPOSE(CO$3:CO$14))</f>
        <v>20</v>
      </c>
      <c r="CP35" s="3">
        <f t="array" ref="CP35">SUMPRODUCT($J35:$U35,TRANSPOSE(CP$3:CP$14))</f>
        <v>20</v>
      </c>
      <c r="CQ35" s="3">
        <f t="array" ref="CQ35">SUMPRODUCT($J35:$U35,TRANSPOSE(CQ$3:CQ$14))</f>
        <v>20</v>
      </c>
      <c r="CR35" s="3">
        <f t="array" ref="CR35">SUMPRODUCT($J35:$U35,TRANSPOSE(CR$3:CR$14))</f>
        <v>20</v>
      </c>
      <c r="CS35" s="3">
        <f t="array" ref="CS35">SUMPRODUCT($J35:$U35,TRANSPOSE(CS$3:CS$14))</f>
        <v>10</v>
      </c>
      <c r="CT35" s="3">
        <f t="array" ref="CT35">SUMPRODUCT($J35:$U35,TRANSPOSE(CT$3:CT$14))</f>
        <v>0</v>
      </c>
      <c r="CU35" s="3">
        <f t="array" ref="CU35">SUMPRODUCT($J35:$U35,TRANSPOSE(CU$3:CU$14))</f>
        <v>0</v>
      </c>
      <c r="CV35" s="3">
        <f t="array" ref="CV35">SUMPRODUCT($J35:$U35,TRANSPOSE(CV$3:CV$14))</f>
        <v>0</v>
      </c>
      <c r="CW35" s="3">
        <f t="array" ref="CW35">SUMPRODUCT($J35:$U35,TRANSPOSE(CW$3:CW$14))</f>
        <v>0</v>
      </c>
      <c r="CX35" s="3">
        <f t="array" ref="CX35">SUMPRODUCT($J35:$U35,TRANSPOSE(CX$3:CX$14))</f>
        <v>0</v>
      </c>
      <c r="CY35" s="3">
        <f t="array" ref="CY35">SUMPRODUCT($J35:$U35,TRANSPOSE(CY$3:CY$14))</f>
        <v>0</v>
      </c>
      <c r="CZ35" s="3">
        <f t="array" ref="CZ35">SUMPRODUCT($J35:$U35,TRANSPOSE(CZ$3:CZ$14))</f>
        <v>0</v>
      </c>
      <c r="DA35" s="3">
        <f t="array" ref="DA35">SUMPRODUCT($J35:$U35,TRANSPOSE(DA$3:DA$14))</f>
        <v>0</v>
      </c>
      <c r="DB35" s="3">
        <f t="array" ref="DB35">SUMPRODUCT($J35:$U35,TRANSPOSE(DB$3:DB$14))</f>
        <v>0</v>
      </c>
      <c r="DC35" s="3">
        <f t="array" ref="DC35">SUMPRODUCT($J35:$U35,TRANSPOSE(DC$3:DC$14))</f>
        <v>0</v>
      </c>
      <c r="DD35" s="3">
        <f t="array" ref="DD35">SUMPRODUCT($J35:$U35,TRANSPOSE(DD$3:DD$14))</f>
        <v>0</v>
      </c>
      <c r="DE35" s="3">
        <f t="array" ref="DE35">SUMPRODUCT($J35:$U35,TRANSPOSE(DE$3:DE$14))</f>
        <v>0</v>
      </c>
    </row>
    <row r="36" spans="1:109" ht="13.5" thickBot="1" x14ac:dyDescent="0.25">
      <c r="A36" s="3">
        <v>53</v>
      </c>
      <c r="B36" s="9" t="s">
        <v>407</v>
      </c>
      <c r="C36" s="3" t="s">
        <v>37</v>
      </c>
      <c r="D36" s="3">
        <v>412830297</v>
      </c>
      <c r="F36" s="3" t="s">
        <v>408</v>
      </c>
      <c r="G36" s="3" t="s">
        <v>14</v>
      </c>
      <c r="H36" s="3">
        <v>1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2</v>
      </c>
      <c r="U36" s="3">
        <v>0</v>
      </c>
      <c r="V36" s="3">
        <f t="shared" si="37"/>
        <v>2</v>
      </c>
      <c r="W36" s="3">
        <f t="shared" si="38"/>
        <v>290</v>
      </c>
      <c r="X36" s="8" t="s">
        <v>363</v>
      </c>
      <c r="Y36" s="3">
        <v>214.92</v>
      </c>
      <c r="Z36" s="3" t="s">
        <v>60</v>
      </c>
      <c r="AA36" s="3" t="s">
        <v>61</v>
      </c>
      <c r="AB36" s="3" t="s">
        <v>62</v>
      </c>
      <c r="AC36" s="3" t="s">
        <v>63</v>
      </c>
      <c r="BJ36" s="3">
        <f>SUM($AE36,$AF36:AH36)-SUM($CH36:CK36)</f>
        <v>0</v>
      </c>
      <c r="BK36" s="3">
        <f>SUM($AE36,$AF36:AI36)-SUM($CH36:CL36)</f>
        <v>-20</v>
      </c>
      <c r="BL36" s="3">
        <f>SUM($AE36,$AF36:AJ36)-SUM($CH36:CM36)</f>
        <v>-50</v>
      </c>
      <c r="BM36" s="3">
        <f>SUM($AE36,$AF36:AK36)-SUM($CH36:CN36)</f>
        <v>-90</v>
      </c>
      <c r="BN36" s="3">
        <f>SUM($AE36,$AF36:AL36)-SUM($CH36:CO36)</f>
        <v>-130</v>
      </c>
      <c r="BO36" s="3">
        <f>SUM($AE36,$AF36:AM36)-SUM($CH36:CP36)</f>
        <v>-170</v>
      </c>
      <c r="BP36" s="3">
        <f>SUM($AE36,$AF36:AN36)-SUM($CH36:CQ36)</f>
        <v>-210</v>
      </c>
      <c r="BQ36" s="3">
        <f>SUM($AE36,$AF36:AO36)-SUM($CH36:CR36)</f>
        <v>-250</v>
      </c>
      <c r="BR36" s="3">
        <f>SUM($AE36,$AF36:AP36)-SUM($CH36:CS36)</f>
        <v>-290</v>
      </c>
      <c r="BS36" s="3">
        <f>SUM($AE36,$AF36:AQ36)-SUM($CH36:CT36)</f>
        <v>-290</v>
      </c>
      <c r="BT36" s="3">
        <f>SUM($AE36,$AF36:AR36)-SUM($CH36:CU36)</f>
        <v>-290</v>
      </c>
      <c r="BU36" s="3">
        <f>SUM($AE36,$AF36:AS36)-SUM($CH36:CV36)</f>
        <v>-290</v>
      </c>
      <c r="BV36" s="3">
        <f>SUM($AE36,$AF36:AT36)-SUM($CH36:CW36)</f>
        <v>-290</v>
      </c>
      <c r="BW36" s="3">
        <f>SUM($AE36,$AF36:AU36)-SUM($CH36:CX36)</f>
        <v>-290</v>
      </c>
      <c r="BX36" s="3">
        <f>SUM($AE36,$AF36:AV36)-SUM($CH36:CY36)</f>
        <v>-290</v>
      </c>
      <c r="BY36" s="3">
        <f>SUM($AE36,$AF36:AW36)-SUM($CH36:CZ36)</f>
        <v>-290</v>
      </c>
      <c r="BZ36" s="3">
        <f>SUM($AE36,$AF36:AX36)-SUM($CH36:DA36)</f>
        <v>-290</v>
      </c>
      <c r="CA36" s="3">
        <f>SUM($AE36,$AF36:AY36)-SUM($CH36:DB36)</f>
        <v>-290</v>
      </c>
      <c r="CB36" s="3">
        <f>SUM($AE36,$AF36:AZ36)-SUM($CH36:DC36)</f>
        <v>-290</v>
      </c>
      <c r="CC36" s="3">
        <f>SUM($AE36,$AF36:BA36)-SUM($CH36:DD36)</f>
        <v>-290</v>
      </c>
      <c r="CI36" s="3">
        <f t="array" ref="CI36">SUMPRODUCT($J36:$U36,TRANSPOSE(CI$3:CI$14))</f>
        <v>0</v>
      </c>
      <c r="CJ36" s="3">
        <f t="array" ref="CJ36">SUMPRODUCT($J36:$U36,TRANSPOSE(CJ$3:CJ$14))</f>
        <v>0</v>
      </c>
      <c r="CK36" s="3">
        <f t="array" ref="CK36">SUMPRODUCT($J36:$U36,TRANSPOSE(CK$3:CK$14))</f>
        <v>0</v>
      </c>
      <c r="CL36" s="3">
        <f t="array" ref="CL36">SUMPRODUCT($J36:$U36,TRANSPOSE(CL$3:CL$14))</f>
        <v>20</v>
      </c>
      <c r="CM36" s="3">
        <f t="array" ref="CM36">SUMPRODUCT($J36:$U36,TRANSPOSE(CM$3:CM$14))</f>
        <v>30</v>
      </c>
      <c r="CN36" s="3">
        <f t="array" ref="CN36">SUMPRODUCT($J36:$U36,TRANSPOSE(CN$3:CN$14))</f>
        <v>40</v>
      </c>
      <c r="CO36" s="3">
        <f t="array" ref="CO36">SUMPRODUCT($J36:$U36,TRANSPOSE(CO$3:CO$14))</f>
        <v>40</v>
      </c>
      <c r="CP36" s="3">
        <f t="array" ref="CP36">SUMPRODUCT($J36:$U36,TRANSPOSE(CP$3:CP$14))</f>
        <v>40</v>
      </c>
      <c r="CQ36" s="3">
        <f t="array" ref="CQ36">SUMPRODUCT($J36:$U36,TRANSPOSE(CQ$3:CQ$14))</f>
        <v>40</v>
      </c>
      <c r="CR36" s="3">
        <f t="array" ref="CR36">SUMPRODUCT($J36:$U36,TRANSPOSE(CR$3:CR$14))</f>
        <v>40</v>
      </c>
      <c r="CS36" s="3">
        <f t="array" ref="CS36">SUMPRODUCT($J36:$U36,TRANSPOSE(CS$3:CS$14))</f>
        <v>40</v>
      </c>
      <c r="CT36" s="3">
        <f t="array" ref="CT36">SUMPRODUCT($J36:$U36,TRANSPOSE(CT$3:CT$14))</f>
        <v>0</v>
      </c>
      <c r="CU36" s="3">
        <f t="array" ref="CU36">SUMPRODUCT($J36:$U36,TRANSPOSE(CU$3:CU$14))</f>
        <v>0</v>
      </c>
      <c r="CV36" s="3">
        <f t="array" ref="CV36">SUMPRODUCT($J36:$U36,TRANSPOSE(CV$3:CV$14))</f>
        <v>0</v>
      </c>
      <c r="CW36" s="3">
        <f t="array" ref="CW36">SUMPRODUCT($J36:$U36,TRANSPOSE(CW$3:CW$14))</f>
        <v>0</v>
      </c>
      <c r="CX36" s="3">
        <f t="array" ref="CX36">SUMPRODUCT($J36:$U36,TRANSPOSE(CX$3:CX$14))</f>
        <v>0</v>
      </c>
      <c r="CY36" s="3">
        <f t="array" ref="CY36">SUMPRODUCT($J36:$U36,TRANSPOSE(CY$3:CY$14))</f>
        <v>0</v>
      </c>
      <c r="CZ36" s="3">
        <f t="array" ref="CZ36">SUMPRODUCT($J36:$U36,TRANSPOSE(CZ$3:CZ$14))</f>
        <v>0</v>
      </c>
      <c r="DA36" s="3">
        <f t="array" ref="DA36">SUMPRODUCT($J36:$U36,TRANSPOSE(DA$3:DA$14))</f>
        <v>0</v>
      </c>
      <c r="DB36" s="3">
        <f t="array" ref="DB36">SUMPRODUCT($J36:$U36,TRANSPOSE(DB$3:DB$14))</f>
        <v>0</v>
      </c>
      <c r="DC36" s="3">
        <f t="array" ref="DC36">SUMPRODUCT($J36:$U36,TRANSPOSE(DC$3:DC$14))</f>
        <v>0</v>
      </c>
      <c r="DD36" s="3">
        <f t="array" ref="DD36">SUMPRODUCT($J36:$U36,TRANSPOSE(DD$3:DD$14))</f>
        <v>0</v>
      </c>
      <c r="DE36" s="3">
        <f t="array" ref="DE36">SUMPRODUCT($J36:$U36,TRANSPOSE(DE$3:DE$14))</f>
        <v>0</v>
      </c>
    </row>
    <row r="37" spans="1:109" ht="13.5" thickBot="1" x14ac:dyDescent="0.25">
      <c r="A37" s="3">
        <v>54</v>
      </c>
      <c r="B37" s="9" t="s">
        <v>409</v>
      </c>
      <c r="C37" s="3" t="s">
        <v>410</v>
      </c>
      <c r="D37" s="3">
        <v>412754351</v>
      </c>
      <c r="F37" s="3" t="s">
        <v>411</v>
      </c>
      <c r="G37" s="3" t="s">
        <v>14</v>
      </c>
      <c r="H37" s="3">
        <v>1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3">
        <v>0</v>
      </c>
      <c r="V37" s="3">
        <f t="shared" si="37"/>
        <v>1</v>
      </c>
      <c r="W37" s="3">
        <f t="shared" si="38"/>
        <v>130</v>
      </c>
      <c r="X37" s="8" t="s">
        <v>363</v>
      </c>
      <c r="Y37" s="3">
        <v>1717</v>
      </c>
      <c r="Z37" s="3" t="s">
        <v>412</v>
      </c>
      <c r="AA37" s="3" t="s">
        <v>413</v>
      </c>
      <c r="AB37" s="3">
        <v>97246644600</v>
      </c>
      <c r="AC37" s="3" t="s">
        <v>414</v>
      </c>
      <c r="BJ37" s="3">
        <f>SUM($AE37,$AF37:AH37)-SUM($CH37:CK37)</f>
        <v>0</v>
      </c>
      <c r="BK37" s="3">
        <f>SUM($AE37,$AF37:AI37)-SUM($CH37:CL37)</f>
        <v>-10</v>
      </c>
      <c r="BL37" s="3">
        <f>SUM($AE37,$AF37:AJ37)-SUM($CH37:CM37)</f>
        <v>-25</v>
      </c>
      <c r="BM37" s="3">
        <f>SUM($AE37,$AF37:AK37)-SUM($CH37:CN37)</f>
        <v>-40</v>
      </c>
      <c r="BN37" s="3">
        <f>SUM($AE37,$AF37:AL37)-SUM($CH37:CO37)</f>
        <v>-60</v>
      </c>
      <c r="BO37" s="3">
        <f>SUM($AE37,$AF37:AM37)-SUM($CH37:CP37)</f>
        <v>-80</v>
      </c>
      <c r="BP37" s="3">
        <f>SUM($AE37,$AF37:AN37)-SUM($CH37:CQ37)</f>
        <v>-100</v>
      </c>
      <c r="BQ37" s="3">
        <f>SUM($AE37,$AF37:AO37)-SUM($CH37:CR37)</f>
        <v>-120</v>
      </c>
      <c r="BR37" s="3">
        <f>SUM($AE37,$AF37:AP37)-SUM($CH37:CS37)</f>
        <v>-130</v>
      </c>
      <c r="BS37" s="3">
        <f>SUM($AE37,$AF37:AQ37)-SUM($CH37:CT37)</f>
        <v>-130</v>
      </c>
      <c r="BT37" s="3">
        <f>SUM($AE37,$AF37:AR37)-SUM($CH37:CU37)</f>
        <v>-130</v>
      </c>
      <c r="BU37" s="3">
        <f>SUM($AE37,$AF37:AS37)-SUM($CH37:CV37)</f>
        <v>-130</v>
      </c>
      <c r="BV37" s="3">
        <f>SUM($AE37,$AF37:AT37)-SUM($CH37:CW37)</f>
        <v>-130</v>
      </c>
      <c r="BW37" s="3">
        <f>SUM($AE37,$AF37:AU37)-SUM($CH37:CX37)</f>
        <v>-130</v>
      </c>
      <c r="BX37" s="3">
        <f>SUM($AE37,$AF37:AV37)-SUM($CH37:CY37)</f>
        <v>-130</v>
      </c>
      <c r="BY37" s="3">
        <f>SUM($AE37,$AF37:AW37)-SUM($CH37:CZ37)</f>
        <v>-130</v>
      </c>
      <c r="BZ37" s="3">
        <f>SUM($AE37,$AF37:AX37)-SUM($CH37:DA37)</f>
        <v>-130</v>
      </c>
      <c r="CA37" s="3">
        <f>SUM($AE37,$AF37:AY37)-SUM($CH37:DB37)</f>
        <v>-130</v>
      </c>
      <c r="CB37" s="3">
        <f>SUM($AE37,$AF37:AZ37)-SUM($CH37:DC37)</f>
        <v>-130</v>
      </c>
      <c r="CC37" s="3">
        <f>SUM($AE37,$AF37:BA37)-SUM($CH37:DD37)</f>
        <v>-130</v>
      </c>
      <c r="CI37" s="3">
        <f t="array" ref="CI37">SUMPRODUCT($J37:$U37,TRANSPOSE(CI$3:CI$14))</f>
        <v>0</v>
      </c>
      <c r="CJ37" s="3">
        <f t="array" ref="CJ37">SUMPRODUCT($J37:$U37,TRANSPOSE(CJ$3:CJ$14))</f>
        <v>0</v>
      </c>
      <c r="CK37" s="3">
        <f t="array" ref="CK37">SUMPRODUCT($J37:$U37,TRANSPOSE(CK$3:CK$14))</f>
        <v>0</v>
      </c>
      <c r="CL37" s="3">
        <f t="array" ref="CL37">SUMPRODUCT($J37:$U37,TRANSPOSE(CL$3:CL$14))</f>
        <v>10</v>
      </c>
      <c r="CM37" s="3">
        <f t="array" ref="CM37">SUMPRODUCT($J37:$U37,TRANSPOSE(CM$3:CM$14))</f>
        <v>15</v>
      </c>
      <c r="CN37" s="3">
        <f t="array" ref="CN37">SUMPRODUCT($J37:$U37,TRANSPOSE(CN$3:CN$14))</f>
        <v>15</v>
      </c>
      <c r="CO37" s="3">
        <f t="array" ref="CO37">SUMPRODUCT($J37:$U37,TRANSPOSE(CO$3:CO$14))</f>
        <v>20</v>
      </c>
      <c r="CP37" s="3">
        <f t="array" ref="CP37">SUMPRODUCT($J37:$U37,TRANSPOSE(CP$3:CP$14))</f>
        <v>20</v>
      </c>
      <c r="CQ37" s="3">
        <f t="array" ref="CQ37">SUMPRODUCT($J37:$U37,TRANSPOSE(CQ$3:CQ$14))</f>
        <v>20</v>
      </c>
      <c r="CR37" s="3">
        <f t="array" ref="CR37">SUMPRODUCT($J37:$U37,TRANSPOSE(CR$3:CR$14))</f>
        <v>20</v>
      </c>
      <c r="CS37" s="3">
        <f t="array" ref="CS37">SUMPRODUCT($J37:$U37,TRANSPOSE(CS$3:CS$14))</f>
        <v>10</v>
      </c>
      <c r="CT37" s="3">
        <f t="array" ref="CT37">SUMPRODUCT($J37:$U37,TRANSPOSE(CT$3:CT$14))</f>
        <v>0</v>
      </c>
      <c r="CU37" s="3">
        <f t="array" ref="CU37">SUMPRODUCT($J37:$U37,TRANSPOSE(CU$3:CU$14))</f>
        <v>0</v>
      </c>
      <c r="CV37" s="3">
        <f t="array" ref="CV37">SUMPRODUCT($J37:$U37,TRANSPOSE(CV$3:CV$14))</f>
        <v>0</v>
      </c>
      <c r="CW37" s="3">
        <f t="array" ref="CW37">SUMPRODUCT($J37:$U37,TRANSPOSE(CW$3:CW$14))</f>
        <v>0</v>
      </c>
      <c r="CX37" s="3">
        <f t="array" ref="CX37">SUMPRODUCT($J37:$U37,TRANSPOSE(CX$3:CX$14))</f>
        <v>0</v>
      </c>
      <c r="CY37" s="3">
        <f t="array" ref="CY37">SUMPRODUCT($J37:$U37,TRANSPOSE(CY$3:CY$14))</f>
        <v>0</v>
      </c>
      <c r="CZ37" s="3">
        <f t="array" ref="CZ37">SUMPRODUCT($J37:$U37,TRANSPOSE(CZ$3:CZ$14))</f>
        <v>0</v>
      </c>
      <c r="DA37" s="3">
        <f t="array" ref="DA37">SUMPRODUCT($J37:$U37,TRANSPOSE(DA$3:DA$14))</f>
        <v>0</v>
      </c>
      <c r="DB37" s="3">
        <f t="array" ref="DB37">SUMPRODUCT($J37:$U37,TRANSPOSE(DB$3:DB$14))</f>
        <v>0</v>
      </c>
      <c r="DC37" s="3">
        <f t="array" ref="DC37">SUMPRODUCT($J37:$U37,TRANSPOSE(DC$3:DC$14))</f>
        <v>0</v>
      </c>
      <c r="DD37" s="3">
        <f t="array" ref="DD37">SUMPRODUCT($J37:$U37,TRANSPOSE(DD$3:DD$14))</f>
        <v>0</v>
      </c>
      <c r="DE37" s="3">
        <f t="array" ref="DE37">SUMPRODUCT($J37:$U37,TRANSPOSE(DE$3:DE$14))</f>
        <v>0</v>
      </c>
    </row>
    <row r="38" spans="1:109" ht="13.5" thickBot="1" x14ac:dyDescent="0.25">
      <c r="A38" s="3">
        <v>55</v>
      </c>
      <c r="B38" s="9" t="s">
        <v>415</v>
      </c>
      <c r="C38" s="3" t="s">
        <v>410</v>
      </c>
      <c r="D38" s="3">
        <v>412754346</v>
      </c>
      <c r="F38" s="3" t="s">
        <v>416</v>
      </c>
      <c r="G38" s="3" t="s">
        <v>14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3">
        <f t="shared" si="37"/>
        <v>1</v>
      </c>
      <c r="W38" s="3">
        <f t="shared" si="38"/>
        <v>130</v>
      </c>
      <c r="X38" s="8" t="s">
        <v>363</v>
      </c>
      <c r="Y38" s="3">
        <v>1178</v>
      </c>
      <c r="Z38" s="3" t="s">
        <v>412</v>
      </c>
      <c r="AA38" s="3" t="s">
        <v>413</v>
      </c>
      <c r="AB38" s="3">
        <v>97246644600</v>
      </c>
      <c r="AC38" s="3" t="s">
        <v>414</v>
      </c>
      <c r="BJ38" s="3">
        <f>SUM($AE38,$AF38:AH38)-SUM($CH38:CK38)</f>
        <v>0</v>
      </c>
      <c r="BK38" s="3">
        <f>SUM($AE38,$AF38:AI38)-SUM($CH38:CL38)</f>
        <v>-10</v>
      </c>
      <c r="BL38" s="3">
        <f>SUM($AE38,$AF38:AJ38)-SUM($CH38:CM38)</f>
        <v>-25</v>
      </c>
      <c r="BM38" s="3">
        <f>SUM($AE38,$AF38:AK38)-SUM($CH38:CN38)</f>
        <v>-40</v>
      </c>
      <c r="BN38" s="3">
        <f>SUM($AE38,$AF38:AL38)-SUM($CH38:CO38)</f>
        <v>-60</v>
      </c>
      <c r="BO38" s="3">
        <f>SUM($AE38,$AF38:AM38)-SUM($CH38:CP38)</f>
        <v>-80</v>
      </c>
      <c r="BP38" s="3">
        <f>SUM($AE38,$AF38:AN38)-SUM($CH38:CQ38)</f>
        <v>-100</v>
      </c>
      <c r="BQ38" s="3">
        <f>SUM($AE38,$AF38:AO38)-SUM($CH38:CR38)</f>
        <v>-120</v>
      </c>
      <c r="BR38" s="3">
        <f>SUM($AE38,$AF38:AP38)-SUM($CH38:CS38)</f>
        <v>-130</v>
      </c>
      <c r="BS38" s="3">
        <f>SUM($AE38,$AF38:AQ38)-SUM($CH38:CT38)</f>
        <v>-130</v>
      </c>
      <c r="BT38" s="3">
        <f>SUM($AE38,$AF38:AR38)-SUM($CH38:CU38)</f>
        <v>-130</v>
      </c>
      <c r="BU38" s="3">
        <f>SUM($AE38,$AF38:AS38)-SUM($CH38:CV38)</f>
        <v>-130</v>
      </c>
      <c r="BV38" s="3">
        <f>SUM($AE38,$AF38:AT38)-SUM($CH38:CW38)</f>
        <v>-130</v>
      </c>
      <c r="BW38" s="3">
        <f>SUM($AE38,$AF38:AU38)-SUM($CH38:CX38)</f>
        <v>-130</v>
      </c>
      <c r="BX38" s="3">
        <f>SUM($AE38,$AF38:AV38)-SUM($CH38:CY38)</f>
        <v>-130</v>
      </c>
      <c r="BY38" s="3">
        <f>SUM($AE38,$AF38:AW38)-SUM($CH38:CZ38)</f>
        <v>-130</v>
      </c>
      <c r="BZ38" s="3">
        <f>SUM($AE38,$AF38:AX38)-SUM($CH38:DA38)</f>
        <v>-130</v>
      </c>
      <c r="CA38" s="3">
        <f>SUM($AE38,$AF38:AY38)-SUM($CH38:DB38)</f>
        <v>-130</v>
      </c>
      <c r="CB38" s="3">
        <f>SUM($AE38,$AF38:AZ38)-SUM($CH38:DC38)</f>
        <v>-130</v>
      </c>
      <c r="CC38" s="3">
        <f>SUM($AE38,$AF38:BA38)-SUM($CH38:DD38)</f>
        <v>-130</v>
      </c>
      <c r="CI38" s="3">
        <f t="array" ref="CI38">SUMPRODUCT($J38:$U38,TRANSPOSE(CI$3:CI$14))</f>
        <v>0</v>
      </c>
      <c r="CJ38" s="3">
        <f t="array" ref="CJ38">SUMPRODUCT($J38:$U38,TRANSPOSE(CJ$3:CJ$14))</f>
        <v>0</v>
      </c>
      <c r="CK38" s="3">
        <f t="array" ref="CK38">SUMPRODUCT($J38:$U38,TRANSPOSE(CK$3:CK$14))</f>
        <v>0</v>
      </c>
      <c r="CL38" s="3">
        <f t="array" ref="CL38">SUMPRODUCT($J38:$U38,TRANSPOSE(CL$3:CL$14))</f>
        <v>10</v>
      </c>
      <c r="CM38" s="3">
        <f t="array" ref="CM38">SUMPRODUCT($J38:$U38,TRANSPOSE(CM$3:CM$14))</f>
        <v>15</v>
      </c>
      <c r="CN38" s="3">
        <f t="array" ref="CN38">SUMPRODUCT($J38:$U38,TRANSPOSE(CN$3:CN$14))</f>
        <v>15</v>
      </c>
      <c r="CO38" s="3">
        <f t="array" ref="CO38">SUMPRODUCT($J38:$U38,TRANSPOSE(CO$3:CO$14))</f>
        <v>20</v>
      </c>
      <c r="CP38" s="3">
        <f t="array" ref="CP38">SUMPRODUCT($J38:$U38,TRANSPOSE(CP$3:CP$14))</f>
        <v>20</v>
      </c>
      <c r="CQ38" s="3">
        <f t="array" ref="CQ38">SUMPRODUCT($J38:$U38,TRANSPOSE(CQ$3:CQ$14))</f>
        <v>20</v>
      </c>
      <c r="CR38" s="3">
        <f t="array" ref="CR38">SUMPRODUCT($J38:$U38,TRANSPOSE(CR$3:CR$14))</f>
        <v>20</v>
      </c>
      <c r="CS38" s="3">
        <f t="array" ref="CS38">SUMPRODUCT($J38:$U38,TRANSPOSE(CS$3:CS$14))</f>
        <v>10</v>
      </c>
      <c r="CT38" s="3">
        <f t="array" ref="CT38">SUMPRODUCT($J38:$U38,TRANSPOSE(CT$3:CT$14))</f>
        <v>0</v>
      </c>
      <c r="CU38" s="3">
        <f t="array" ref="CU38">SUMPRODUCT($J38:$U38,TRANSPOSE(CU$3:CU$14))</f>
        <v>0</v>
      </c>
      <c r="CV38" s="3">
        <f t="array" ref="CV38">SUMPRODUCT($J38:$U38,TRANSPOSE(CV$3:CV$14))</f>
        <v>0</v>
      </c>
      <c r="CW38" s="3">
        <f t="array" ref="CW38">SUMPRODUCT($J38:$U38,TRANSPOSE(CW$3:CW$14))</f>
        <v>0</v>
      </c>
      <c r="CX38" s="3">
        <f t="array" ref="CX38">SUMPRODUCT($J38:$U38,TRANSPOSE(CX$3:CX$14))</f>
        <v>0</v>
      </c>
      <c r="CY38" s="3">
        <f t="array" ref="CY38">SUMPRODUCT($J38:$U38,TRANSPOSE(CY$3:CY$14))</f>
        <v>0</v>
      </c>
      <c r="CZ38" s="3">
        <f t="array" ref="CZ38">SUMPRODUCT($J38:$U38,TRANSPOSE(CZ$3:CZ$14))</f>
        <v>0</v>
      </c>
      <c r="DA38" s="3">
        <f t="array" ref="DA38">SUMPRODUCT($J38:$U38,TRANSPOSE(DA$3:DA$14))</f>
        <v>0</v>
      </c>
      <c r="DB38" s="3">
        <f t="array" ref="DB38">SUMPRODUCT($J38:$U38,TRANSPOSE(DB$3:DB$14))</f>
        <v>0</v>
      </c>
      <c r="DC38" s="3">
        <f t="array" ref="DC38">SUMPRODUCT($J38:$U38,TRANSPOSE(DC$3:DC$14))</f>
        <v>0</v>
      </c>
      <c r="DD38" s="3">
        <f t="array" ref="DD38">SUMPRODUCT($J38:$U38,TRANSPOSE(DD$3:DD$14))</f>
        <v>0</v>
      </c>
      <c r="DE38" s="3">
        <f t="array" ref="DE38">SUMPRODUCT($J38:$U38,TRANSPOSE(DE$3:DE$14))</f>
        <v>0</v>
      </c>
    </row>
    <row r="39" spans="1:109" ht="13.5" thickBot="1" x14ac:dyDescent="0.25">
      <c r="A39" s="3">
        <v>56</v>
      </c>
      <c r="B39" s="9" t="s">
        <v>417</v>
      </c>
      <c r="C39" s="3" t="s">
        <v>49</v>
      </c>
      <c r="D39" s="3">
        <v>412754353</v>
      </c>
      <c r="F39" s="3" t="s">
        <v>418</v>
      </c>
      <c r="G39" s="3" t="s">
        <v>14</v>
      </c>
      <c r="H39" s="3">
        <v>1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</v>
      </c>
      <c r="S39" s="3">
        <v>0</v>
      </c>
      <c r="T39" s="3">
        <v>0</v>
      </c>
      <c r="U39" s="3">
        <v>0</v>
      </c>
      <c r="V39" s="3">
        <f t="shared" si="37"/>
        <v>1</v>
      </c>
      <c r="W39" s="3">
        <f t="shared" si="38"/>
        <v>130</v>
      </c>
      <c r="X39" s="8" t="s">
        <v>363</v>
      </c>
      <c r="Y39" s="3">
        <v>16.3</v>
      </c>
      <c r="Z39" s="3" t="s">
        <v>51</v>
      </c>
      <c r="AA39" s="3" t="s">
        <v>52</v>
      </c>
      <c r="AB39" s="3" t="s">
        <v>53</v>
      </c>
      <c r="AC39" s="3" t="s">
        <v>54</v>
      </c>
      <c r="BJ39" s="3">
        <f>SUM($AE39,$AF39:AH39)-SUM($CH39:CK39)</f>
        <v>0</v>
      </c>
      <c r="BK39" s="3">
        <f>SUM($AE39,$AF39:AI39)-SUM($CH39:CL39)</f>
        <v>-10</v>
      </c>
      <c r="BL39" s="3">
        <f>SUM($AE39,$AF39:AJ39)-SUM($CH39:CM39)</f>
        <v>-25</v>
      </c>
      <c r="BM39" s="3">
        <f>SUM($AE39,$AF39:AK39)-SUM($CH39:CN39)</f>
        <v>-40</v>
      </c>
      <c r="BN39" s="3">
        <f>SUM($AE39,$AF39:AL39)-SUM($CH39:CO39)</f>
        <v>-60</v>
      </c>
      <c r="BO39" s="3">
        <f>SUM($AE39,$AF39:AM39)-SUM($CH39:CP39)</f>
        <v>-80</v>
      </c>
      <c r="BP39" s="3">
        <f>SUM($AE39,$AF39:AN39)-SUM($CH39:CQ39)</f>
        <v>-100</v>
      </c>
      <c r="BQ39" s="3">
        <f>SUM($AE39,$AF39:AO39)-SUM($CH39:CR39)</f>
        <v>-120</v>
      </c>
      <c r="BR39" s="3">
        <f>SUM($AE39,$AF39:AP39)-SUM($CH39:CS39)</f>
        <v>-130</v>
      </c>
      <c r="BS39" s="3">
        <f>SUM($AE39,$AF39:AQ39)-SUM($CH39:CT39)</f>
        <v>-130</v>
      </c>
      <c r="BT39" s="3">
        <f>SUM($AE39,$AF39:AR39)-SUM($CH39:CU39)</f>
        <v>-130</v>
      </c>
      <c r="BU39" s="3">
        <f>SUM($AE39,$AF39:AS39)-SUM($CH39:CV39)</f>
        <v>-130</v>
      </c>
      <c r="BV39" s="3">
        <f>SUM($AE39,$AF39:AT39)-SUM($CH39:CW39)</f>
        <v>-130</v>
      </c>
      <c r="BW39" s="3">
        <f>SUM($AE39,$AF39:AU39)-SUM($CH39:CX39)</f>
        <v>-130</v>
      </c>
      <c r="BX39" s="3">
        <f>SUM($AE39,$AF39:AV39)-SUM($CH39:CY39)</f>
        <v>-130</v>
      </c>
      <c r="BY39" s="3">
        <f>SUM($AE39,$AF39:AW39)-SUM($CH39:CZ39)</f>
        <v>-130</v>
      </c>
      <c r="BZ39" s="3">
        <f>SUM($AE39,$AF39:AX39)-SUM($CH39:DA39)</f>
        <v>-130</v>
      </c>
      <c r="CA39" s="3">
        <f>SUM($AE39,$AF39:AY39)-SUM($CH39:DB39)</f>
        <v>-130</v>
      </c>
      <c r="CB39" s="3">
        <f>SUM($AE39,$AF39:AZ39)-SUM($CH39:DC39)</f>
        <v>-130</v>
      </c>
      <c r="CC39" s="3">
        <f>SUM($AE39,$AF39:BA39)-SUM($CH39:DD39)</f>
        <v>-130</v>
      </c>
      <c r="CI39" s="3">
        <f t="array" ref="CI39">SUMPRODUCT($J39:$U39,TRANSPOSE(CI$3:CI$14))</f>
        <v>0</v>
      </c>
      <c r="CJ39" s="3">
        <f t="array" ref="CJ39">SUMPRODUCT($J39:$U39,TRANSPOSE(CJ$3:CJ$14))</f>
        <v>0</v>
      </c>
      <c r="CK39" s="3">
        <f t="array" ref="CK39">SUMPRODUCT($J39:$U39,TRANSPOSE(CK$3:CK$14))</f>
        <v>0</v>
      </c>
      <c r="CL39" s="3">
        <f t="array" ref="CL39">SUMPRODUCT($J39:$U39,TRANSPOSE(CL$3:CL$14))</f>
        <v>10</v>
      </c>
      <c r="CM39" s="3">
        <f t="array" ref="CM39">SUMPRODUCT($J39:$U39,TRANSPOSE(CM$3:CM$14))</f>
        <v>15</v>
      </c>
      <c r="CN39" s="3">
        <f t="array" ref="CN39">SUMPRODUCT($J39:$U39,TRANSPOSE(CN$3:CN$14))</f>
        <v>15</v>
      </c>
      <c r="CO39" s="3">
        <f t="array" ref="CO39">SUMPRODUCT($J39:$U39,TRANSPOSE(CO$3:CO$14))</f>
        <v>20</v>
      </c>
      <c r="CP39" s="3">
        <f t="array" ref="CP39">SUMPRODUCT($J39:$U39,TRANSPOSE(CP$3:CP$14))</f>
        <v>20</v>
      </c>
      <c r="CQ39" s="3">
        <f t="array" ref="CQ39">SUMPRODUCT($J39:$U39,TRANSPOSE(CQ$3:CQ$14))</f>
        <v>20</v>
      </c>
      <c r="CR39" s="3">
        <f t="array" ref="CR39">SUMPRODUCT($J39:$U39,TRANSPOSE(CR$3:CR$14))</f>
        <v>20</v>
      </c>
      <c r="CS39" s="3">
        <f t="array" ref="CS39">SUMPRODUCT($J39:$U39,TRANSPOSE(CS$3:CS$14))</f>
        <v>10</v>
      </c>
      <c r="CT39" s="3">
        <f t="array" ref="CT39">SUMPRODUCT($J39:$U39,TRANSPOSE(CT$3:CT$14))</f>
        <v>0</v>
      </c>
      <c r="CU39" s="3">
        <f t="array" ref="CU39">SUMPRODUCT($J39:$U39,TRANSPOSE(CU$3:CU$14))</f>
        <v>0</v>
      </c>
      <c r="CV39" s="3">
        <f t="array" ref="CV39">SUMPRODUCT($J39:$U39,TRANSPOSE(CV$3:CV$14))</f>
        <v>0</v>
      </c>
      <c r="CW39" s="3">
        <f t="array" ref="CW39">SUMPRODUCT($J39:$U39,TRANSPOSE(CW$3:CW$14))</f>
        <v>0</v>
      </c>
      <c r="CX39" s="3">
        <f t="array" ref="CX39">SUMPRODUCT($J39:$U39,TRANSPOSE(CX$3:CX$14))</f>
        <v>0</v>
      </c>
      <c r="CY39" s="3">
        <f t="array" ref="CY39">SUMPRODUCT($J39:$U39,TRANSPOSE(CY$3:CY$14))</f>
        <v>0</v>
      </c>
      <c r="CZ39" s="3">
        <f t="array" ref="CZ39">SUMPRODUCT($J39:$U39,TRANSPOSE(CZ$3:CZ$14))</f>
        <v>0</v>
      </c>
      <c r="DA39" s="3">
        <f t="array" ref="DA39">SUMPRODUCT($J39:$U39,TRANSPOSE(DA$3:DA$14))</f>
        <v>0</v>
      </c>
      <c r="DB39" s="3">
        <f t="array" ref="DB39">SUMPRODUCT($J39:$U39,TRANSPOSE(DB$3:DB$14))</f>
        <v>0</v>
      </c>
      <c r="DC39" s="3">
        <f t="array" ref="DC39">SUMPRODUCT($J39:$U39,TRANSPOSE(DC$3:DC$14))</f>
        <v>0</v>
      </c>
      <c r="DD39" s="3">
        <f t="array" ref="DD39">SUMPRODUCT($J39:$U39,TRANSPOSE(DD$3:DD$14))</f>
        <v>0</v>
      </c>
      <c r="DE39" s="3">
        <f t="array" ref="DE39">SUMPRODUCT($J39:$U39,TRANSPOSE(DE$3:DE$14))</f>
        <v>0</v>
      </c>
    </row>
    <row r="40" spans="1:109" ht="13.5" thickBot="1" x14ac:dyDescent="0.25">
      <c r="A40" s="3">
        <v>57</v>
      </c>
      <c r="B40" s="9" t="s">
        <v>419</v>
      </c>
      <c r="C40" s="3" t="s">
        <v>37</v>
      </c>
      <c r="D40" s="3">
        <v>412804951</v>
      </c>
      <c r="F40" s="3" t="s">
        <v>420</v>
      </c>
      <c r="G40" s="3" t="s">
        <v>14</v>
      </c>
      <c r="H40" s="3">
        <v>1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0</v>
      </c>
      <c r="U40" s="3">
        <v>0</v>
      </c>
      <c r="V40" s="3">
        <f t="shared" si="37"/>
        <v>1</v>
      </c>
      <c r="W40" s="3">
        <f t="shared" si="38"/>
        <v>130</v>
      </c>
      <c r="X40" s="8" t="s">
        <v>363</v>
      </c>
      <c r="Y40" s="3">
        <v>16.3</v>
      </c>
      <c r="Z40" s="3" t="s">
        <v>51</v>
      </c>
      <c r="AA40" s="3" t="s">
        <v>52</v>
      </c>
      <c r="AB40" s="3" t="s">
        <v>53</v>
      </c>
      <c r="AC40" s="3" t="s">
        <v>54</v>
      </c>
      <c r="BJ40" s="3">
        <f>SUM($AE40,$AF40:AH40)-SUM($CH40:CK40)</f>
        <v>0</v>
      </c>
      <c r="BK40" s="3">
        <f>SUM($AE40,$AF40:AI40)-SUM($CH40:CL40)</f>
        <v>-10</v>
      </c>
      <c r="BL40" s="3">
        <f>SUM($AE40,$AF40:AJ40)-SUM($CH40:CM40)</f>
        <v>-25</v>
      </c>
      <c r="BM40" s="3">
        <f>SUM($AE40,$AF40:AK40)-SUM($CH40:CN40)</f>
        <v>-40</v>
      </c>
      <c r="BN40" s="3">
        <f>SUM($AE40,$AF40:AL40)-SUM($CH40:CO40)</f>
        <v>-60</v>
      </c>
      <c r="BO40" s="3">
        <f>SUM($AE40,$AF40:AM40)-SUM($CH40:CP40)</f>
        <v>-80</v>
      </c>
      <c r="BP40" s="3">
        <f>SUM($AE40,$AF40:AN40)-SUM($CH40:CQ40)</f>
        <v>-100</v>
      </c>
      <c r="BQ40" s="3">
        <f>SUM($AE40,$AF40:AO40)-SUM($CH40:CR40)</f>
        <v>-120</v>
      </c>
      <c r="BR40" s="3">
        <f>SUM($AE40,$AF40:AP40)-SUM($CH40:CS40)</f>
        <v>-130</v>
      </c>
      <c r="BS40" s="3">
        <f>SUM($AE40,$AF40:AQ40)-SUM($CH40:CT40)</f>
        <v>-130</v>
      </c>
      <c r="BT40" s="3">
        <f>SUM($AE40,$AF40:AR40)-SUM($CH40:CU40)</f>
        <v>-130</v>
      </c>
      <c r="BU40" s="3">
        <f>SUM($AE40,$AF40:AS40)-SUM($CH40:CV40)</f>
        <v>-130</v>
      </c>
      <c r="BV40" s="3">
        <f>SUM($AE40,$AF40:AT40)-SUM($CH40:CW40)</f>
        <v>-130</v>
      </c>
      <c r="BW40" s="3">
        <f>SUM($AE40,$AF40:AU40)-SUM($CH40:CX40)</f>
        <v>-130</v>
      </c>
      <c r="BX40" s="3">
        <f>SUM($AE40,$AF40:AV40)-SUM($CH40:CY40)</f>
        <v>-130</v>
      </c>
      <c r="BY40" s="3">
        <f>SUM($AE40,$AF40:AW40)-SUM($CH40:CZ40)</f>
        <v>-130</v>
      </c>
      <c r="BZ40" s="3">
        <f>SUM($AE40,$AF40:AX40)-SUM($CH40:DA40)</f>
        <v>-130</v>
      </c>
      <c r="CA40" s="3">
        <f>SUM($AE40,$AF40:AY40)-SUM($CH40:DB40)</f>
        <v>-130</v>
      </c>
      <c r="CB40" s="3">
        <f>SUM($AE40,$AF40:AZ40)-SUM($CH40:DC40)</f>
        <v>-130</v>
      </c>
      <c r="CC40" s="3">
        <f>SUM($AE40,$AF40:BA40)-SUM($CH40:DD40)</f>
        <v>-130</v>
      </c>
      <c r="CI40" s="3">
        <f t="array" ref="CI40">SUMPRODUCT($J40:$U40,TRANSPOSE(CI$3:CI$14))</f>
        <v>0</v>
      </c>
      <c r="CJ40" s="3">
        <f t="array" ref="CJ40">SUMPRODUCT($J40:$U40,TRANSPOSE(CJ$3:CJ$14))</f>
        <v>0</v>
      </c>
      <c r="CK40" s="3">
        <f t="array" ref="CK40">SUMPRODUCT($J40:$U40,TRANSPOSE(CK$3:CK$14))</f>
        <v>0</v>
      </c>
      <c r="CL40" s="3">
        <f t="array" ref="CL40">SUMPRODUCT($J40:$U40,TRANSPOSE(CL$3:CL$14))</f>
        <v>10</v>
      </c>
      <c r="CM40" s="3">
        <f t="array" ref="CM40">SUMPRODUCT($J40:$U40,TRANSPOSE(CM$3:CM$14))</f>
        <v>15</v>
      </c>
      <c r="CN40" s="3">
        <f t="array" ref="CN40">SUMPRODUCT($J40:$U40,TRANSPOSE(CN$3:CN$14))</f>
        <v>15</v>
      </c>
      <c r="CO40" s="3">
        <f t="array" ref="CO40">SUMPRODUCT($J40:$U40,TRANSPOSE(CO$3:CO$14))</f>
        <v>20</v>
      </c>
      <c r="CP40" s="3">
        <f t="array" ref="CP40">SUMPRODUCT($J40:$U40,TRANSPOSE(CP$3:CP$14))</f>
        <v>20</v>
      </c>
      <c r="CQ40" s="3">
        <f t="array" ref="CQ40">SUMPRODUCT($J40:$U40,TRANSPOSE(CQ$3:CQ$14))</f>
        <v>20</v>
      </c>
      <c r="CR40" s="3">
        <f t="array" ref="CR40">SUMPRODUCT($J40:$U40,TRANSPOSE(CR$3:CR$14))</f>
        <v>20</v>
      </c>
      <c r="CS40" s="3">
        <f t="array" ref="CS40">SUMPRODUCT($J40:$U40,TRANSPOSE(CS$3:CS$14))</f>
        <v>10</v>
      </c>
      <c r="CT40" s="3">
        <f t="array" ref="CT40">SUMPRODUCT($J40:$U40,TRANSPOSE(CT$3:CT$14))</f>
        <v>0</v>
      </c>
      <c r="CU40" s="3">
        <f t="array" ref="CU40">SUMPRODUCT($J40:$U40,TRANSPOSE(CU$3:CU$14))</f>
        <v>0</v>
      </c>
      <c r="CV40" s="3">
        <f t="array" ref="CV40">SUMPRODUCT($J40:$U40,TRANSPOSE(CV$3:CV$14))</f>
        <v>0</v>
      </c>
      <c r="CW40" s="3">
        <f t="array" ref="CW40">SUMPRODUCT($J40:$U40,TRANSPOSE(CW$3:CW$14))</f>
        <v>0</v>
      </c>
      <c r="CX40" s="3">
        <f t="array" ref="CX40">SUMPRODUCT($J40:$U40,TRANSPOSE(CX$3:CX$14))</f>
        <v>0</v>
      </c>
      <c r="CY40" s="3">
        <f t="array" ref="CY40">SUMPRODUCT($J40:$U40,TRANSPOSE(CY$3:CY$14))</f>
        <v>0</v>
      </c>
      <c r="CZ40" s="3">
        <f t="array" ref="CZ40">SUMPRODUCT($J40:$U40,TRANSPOSE(CZ$3:CZ$14))</f>
        <v>0</v>
      </c>
      <c r="DA40" s="3">
        <f t="array" ref="DA40">SUMPRODUCT($J40:$U40,TRANSPOSE(DA$3:DA$14))</f>
        <v>0</v>
      </c>
      <c r="DB40" s="3">
        <f t="array" ref="DB40">SUMPRODUCT($J40:$U40,TRANSPOSE(DB$3:DB$14))</f>
        <v>0</v>
      </c>
      <c r="DC40" s="3">
        <f t="array" ref="DC40">SUMPRODUCT($J40:$U40,TRANSPOSE(DC$3:DC$14))</f>
        <v>0</v>
      </c>
      <c r="DD40" s="3">
        <f t="array" ref="DD40">SUMPRODUCT($J40:$U40,TRANSPOSE(DD$3:DD$14))</f>
        <v>0</v>
      </c>
      <c r="DE40" s="3">
        <f t="array" ref="DE40">SUMPRODUCT($J40:$U40,TRANSPOSE(DE$3:DE$14))</f>
        <v>0</v>
      </c>
    </row>
    <row r="41" spans="1:109" ht="13.5" thickBot="1" x14ac:dyDescent="0.25">
      <c r="A41" s="3">
        <v>58</v>
      </c>
      <c r="B41" s="9" t="s">
        <v>355</v>
      </c>
      <c r="C41" s="3" t="s">
        <v>13</v>
      </c>
      <c r="D41" s="3">
        <v>412687036</v>
      </c>
      <c r="F41" s="3" t="s">
        <v>421</v>
      </c>
      <c r="G41" s="3" t="s">
        <v>14</v>
      </c>
      <c r="H41" s="3">
        <v>1</v>
      </c>
      <c r="I41" s="3">
        <v>1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f t="shared" si="37"/>
        <v>1</v>
      </c>
      <c r="W41" s="3">
        <f t="shared" si="38"/>
        <v>130</v>
      </c>
      <c r="X41" s="8" t="s">
        <v>15</v>
      </c>
      <c r="Z41" s="3" t="s">
        <v>15</v>
      </c>
      <c r="BJ41" s="3">
        <f>SUM($AE41,$AF41:AH41)-SUM($CH41:CK41)</f>
        <v>0</v>
      </c>
      <c r="BK41" s="3">
        <f>SUM($AE41,$AF41:AI41)-SUM($CH41:CL41)</f>
        <v>0</v>
      </c>
      <c r="BL41" s="3">
        <f>SUM($AE41,$AF41:AJ41)-SUM($CH41:CM41)</f>
        <v>-10</v>
      </c>
      <c r="BM41" s="3">
        <f>SUM($AE41,$AF41:AK41)-SUM($CH41:CN41)</f>
        <v>-25</v>
      </c>
      <c r="BN41" s="3">
        <f>SUM($AE41,$AF41:AL41)-SUM($CH41:CO41)</f>
        <v>-40</v>
      </c>
      <c r="BO41" s="3">
        <f>SUM($AE41,$AF41:AM41)-SUM($CH41:CP41)</f>
        <v>-60</v>
      </c>
      <c r="BP41" s="3">
        <f>SUM($AE41,$AF41:AN41)-SUM($CH41:CQ41)</f>
        <v>-80</v>
      </c>
      <c r="BQ41" s="3">
        <f>SUM($AE41,$AF41:AO41)-SUM($CH41:CR41)</f>
        <v>-100</v>
      </c>
      <c r="BR41" s="3">
        <f>SUM($AE41,$AF41:AP41)-SUM($CH41:CS41)</f>
        <v>-120</v>
      </c>
      <c r="BS41" s="3">
        <f>SUM($AE41,$AF41:AQ41)-SUM($CH41:CT41)</f>
        <v>-130</v>
      </c>
      <c r="BT41" s="3">
        <f>SUM($AE41,$AF41:AR41)-SUM($CH41:CU41)</f>
        <v>-130</v>
      </c>
      <c r="BU41" s="3">
        <f>SUM($AE41,$AF41:AS41)-SUM($CH41:CV41)</f>
        <v>-130</v>
      </c>
      <c r="BV41" s="3">
        <f>SUM($AE41,$AF41:AT41)-SUM($CH41:CW41)</f>
        <v>-130</v>
      </c>
      <c r="BW41" s="3">
        <f>SUM($AE41,$AF41:AU41)-SUM($CH41:CX41)</f>
        <v>-130</v>
      </c>
      <c r="BX41" s="3">
        <f>SUM($AE41,$AF41:AV41)-SUM($CH41:CY41)</f>
        <v>-130</v>
      </c>
      <c r="BY41" s="3">
        <f>SUM($AE41,$AF41:AW41)-SUM($CH41:CZ41)</f>
        <v>-130</v>
      </c>
      <c r="BZ41" s="3">
        <f>SUM($AE41,$AF41:AX41)-SUM($CH41:DA41)</f>
        <v>-130</v>
      </c>
      <c r="CA41" s="3">
        <f>SUM($AE41,$AF41:AY41)-SUM($CH41:DB41)</f>
        <v>-130</v>
      </c>
      <c r="CB41" s="3">
        <f>SUM($AE41,$AF41:AZ41)-SUM($CH41:DC41)</f>
        <v>-130</v>
      </c>
      <c r="CC41" s="3">
        <f>SUM($AE41,$AF41:BA41)-SUM($CH41:DD41)</f>
        <v>-130</v>
      </c>
      <c r="CI41" s="3">
        <f t="array" ref="CI41">SUMPRODUCT($J41:$U41,TRANSPOSE(CI$3:CI$14))</f>
        <v>0</v>
      </c>
      <c r="CJ41" s="3">
        <f t="array" ref="CJ41">SUMPRODUCT($J41:$U41,TRANSPOSE(CJ$3:CJ$14))</f>
        <v>0</v>
      </c>
      <c r="CK41" s="3">
        <f t="array" ref="CK41">SUMPRODUCT($J41:$U41,TRANSPOSE(CK$3:CK$14))</f>
        <v>0</v>
      </c>
      <c r="CL41" s="3">
        <f t="array" ref="CL41">SUMPRODUCT($J41:$U41,TRANSPOSE(CL$3:CL$14))</f>
        <v>0</v>
      </c>
      <c r="CM41" s="3">
        <f t="array" ref="CM41">SUMPRODUCT($J41:$U41,TRANSPOSE(CM$3:CM$14))</f>
        <v>10</v>
      </c>
      <c r="CN41" s="3">
        <f t="array" ref="CN41">SUMPRODUCT($J41:$U41,TRANSPOSE(CN$3:CN$14))</f>
        <v>15</v>
      </c>
      <c r="CO41" s="3">
        <f t="array" ref="CO41">SUMPRODUCT($J41:$U41,TRANSPOSE(CO$3:CO$14))</f>
        <v>15</v>
      </c>
      <c r="CP41" s="3">
        <f t="array" ref="CP41">SUMPRODUCT($J41:$U41,TRANSPOSE(CP$3:CP$14))</f>
        <v>20</v>
      </c>
      <c r="CQ41" s="3">
        <f t="array" ref="CQ41">SUMPRODUCT($J41:$U41,TRANSPOSE(CQ$3:CQ$14))</f>
        <v>20</v>
      </c>
      <c r="CR41" s="3">
        <f t="array" ref="CR41">SUMPRODUCT($J41:$U41,TRANSPOSE(CR$3:CR$14))</f>
        <v>20</v>
      </c>
      <c r="CS41" s="3">
        <f t="array" ref="CS41">SUMPRODUCT($J41:$U41,TRANSPOSE(CS$3:CS$14))</f>
        <v>20</v>
      </c>
      <c r="CT41" s="3">
        <f t="array" ref="CT41">SUMPRODUCT($J41:$U41,TRANSPOSE(CT$3:CT$14))</f>
        <v>10</v>
      </c>
      <c r="CU41" s="3">
        <f t="array" ref="CU41">SUMPRODUCT($J41:$U41,TRANSPOSE(CU$3:CU$14))</f>
        <v>0</v>
      </c>
      <c r="CV41" s="3">
        <f t="array" ref="CV41">SUMPRODUCT($J41:$U41,TRANSPOSE(CV$3:CV$14))</f>
        <v>0</v>
      </c>
      <c r="CW41" s="3">
        <f t="array" ref="CW41">SUMPRODUCT($J41:$U41,TRANSPOSE(CW$3:CW$14))</f>
        <v>0</v>
      </c>
      <c r="CX41" s="3">
        <f t="array" ref="CX41">SUMPRODUCT($J41:$U41,TRANSPOSE(CX$3:CX$14))</f>
        <v>0</v>
      </c>
      <c r="CY41" s="3">
        <f t="array" ref="CY41">SUMPRODUCT($J41:$U41,TRANSPOSE(CY$3:CY$14))</f>
        <v>0</v>
      </c>
      <c r="CZ41" s="3">
        <f t="array" ref="CZ41">SUMPRODUCT($J41:$U41,TRANSPOSE(CZ$3:CZ$14))</f>
        <v>0</v>
      </c>
      <c r="DA41" s="3">
        <f t="array" ref="DA41">SUMPRODUCT($J41:$U41,TRANSPOSE(DA$3:DA$14))</f>
        <v>0</v>
      </c>
      <c r="DB41" s="3">
        <f t="array" ref="DB41">SUMPRODUCT($J41:$U41,TRANSPOSE(DB$3:DB$14))</f>
        <v>0</v>
      </c>
      <c r="DC41" s="3">
        <f t="array" ref="DC41">SUMPRODUCT($J41:$U41,TRANSPOSE(DC$3:DC$14))</f>
        <v>0</v>
      </c>
      <c r="DD41" s="3">
        <f t="array" ref="DD41">SUMPRODUCT($J41:$U41,TRANSPOSE(DD$3:DD$14))</f>
        <v>0</v>
      </c>
      <c r="DE41" s="3">
        <f t="array" ref="DE41">SUMPRODUCT($J41:$U41,TRANSPOSE(DE$3:DE$14))</f>
        <v>0</v>
      </c>
    </row>
    <row r="42" spans="1:109" ht="13.5" thickBot="1" x14ac:dyDescent="0.25">
      <c r="A42" s="3">
        <v>59</v>
      </c>
      <c r="B42" s="9" t="s">
        <v>354</v>
      </c>
      <c r="C42" s="3" t="s">
        <v>13</v>
      </c>
      <c r="D42" s="3">
        <v>412687035</v>
      </c>
      <c r="F42" s="3" t="s">
        <v>422</v>
      </c>
      <c r="G42" s="3" t="s">
        <v>14</v>
      </c>
      <c r="H42" s="3">
        <v>1</v>
      </c>
      <c r="I42" s="3">
        <v>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f t="shared" si="37"/>
        <v>1</v>
      </c>
      <c r="W42" s="3">
        <f t="shared" si="38"/>
        <v>130</v>
      </c>
      <c r="X42" s="8" t="s">
        <v>15</v>
      </c>
      <c r="Z42" s="3" t="s">
        <v>15</v>
      </c>
      <c r="BJ42" s="3">
        <f>SUM($AE42,$AF42:AH42)-SUM($CH42:CK42)</f>
        <v>0</v>
      </c>
      <c r="BK42" s="3">
        <f>SUM($AE42,$AF42:AI42)-SUM($CH42:CL42)</f>
        <v>0</v>
      </c>
      <c r="BL42" s="3">
        <f>SUM($AE42,$AF42:AJ42)-SUM($CH42:CM42)</f>
        <v>-10</v>
      </c>
      <c r="BM42" s="3">
        <f>SUM($AE42,$AF42:AK42)-SUM($CH42:CN42)</f>
        <v>-25</v>
      </c>
      <c r="BN42" s="3">
        <f>SUM($AE42,$AF42:AL42)-SUM($CH42:CO42)</f>
        <v>-40</v>
      </c>
      <c r="BO42" s="3">
        <f>SUM($AE42,$AF42:AM42)-SUM($CH42:CP42)</f>
        <v>-60</v>
      </c>
      <c r="BP42" s="3">
        <f>SUM($AE42,$AF42:AN42)-SUM($CH42:CQ42)</f>
        <v>-80</v>
      </c>
      <c r="BQ42" s="3">
        <f>SUM($AE42,$AF42:AO42)-SUM($CH42:CR42)</f>
        <v>-100</v>
      </c>
      <c r="BR42" s="3">
        <f>SUM($AE42,$AF42:AP42)-SUM($CH42:CS42)</f>
        <v>-120</v>
      </c>
      <c r="BS42" s="3">
        <f>SUM($AE42,$AF42:AQ42)-SUM($CH42:CT42)</f>
        <v>-130</v>
      </c>
      <c r="BT42" s="3">
        <f>SUM($AE42,$AF42:AR42)-SUM($CH42:CU42)</f>
        <v>-130</v>
      </c>
      <c r="BU42" s="3">
        <f>SUM($AE42,$AF42:AS42)-SUM($CH42:CV42)</f>
        <v>-130</v>
      </c>
      <c r="BV42" s="3">
        <f>SUM($AE42,$AF42:AT42)-SUM($CH42:CW42)</f>
        <v>-130</v>
      </c>
      <c r="BW42" s="3">
        <f>SUM($AE42,$AF42:AU42)-SUM($CH42:CX42)</f>
        <v>-130</v>
      </c>
      <c r="BX42" s="3">
        <f>SUM($AE42,$AF42:AV42)-SUM($CH42:CY42)</f>
        <v>-130</v>
      </c>
      <c r="BY42" s="3">
        <f>SUM($AE42,$AF42:AW42)-SUM($CH42:CZ42)</f>
        <v>-130</v>
      </c>
      <c r="BZ42" s="3">
        <f>SUM($AE42,$AF42:AX42)-SUM($CH42:DA42)</f>
        <v>-130</v>
      </c>
      <c r="CA42" s="3">
        <f>SUM($AE42,$AF42:AY42)-SUM($CH42:DB42)</f>
        <v>-130</v>
      </c>
      <c r="CB42" s="3">
        <f>SUM($AE42,$AF42:AZ42)-SUM($CH42:DC42)</f>
        <v>-130</v>
      </c>
      <c r="CC42" s="3">
        <f>SUM($AE42,$AF42:BA42)-SUM($CH42:DD42)</f>
        <v>-130</v>
      </c>
      <c r="CI42" s="3">
        <f t="array" ref="CI42">SUMPRODUCT($J42:$U42,TRANSPOSE(CI$3:CI$14))</f>
        <v>0</v>
      </c>
      <c r="CJ42" s="3">
        <f t="array" ref="CJ42">SUMPRODUCT($J42:$U42,TRANSPOSE(CJ$3:CJ$14))</f>
        <v>0</v>
      </c>
      <c r="CK42" s="3">
        <f t="array" ref="CK42">SUMPRODUCT($J42:$U42,TRANSPOSE(CK$3:CK$14))</f>
        <v>0</v>
      </c>
      <c r="CL42" s="3">
        <f t="array" ref="CL42">SUMPRODUCT($J42:$U42,TRANSPOSE(CL$3:CL$14))</f>
        <v>0</v>
      </c>
      <c r="CM42" s="3">
        <f t="array" ref="CM42">SUMPRODUCT($J42:$U42,TRANSPOSE(CM$3:CM$14))</f>
        <v>10</v>
      </c>
      <c r="CN42" s="3">
        <f t="array" ref="CN42">SUMPRODUCT($J42:$U42,TRANSPOSE(CN$3:CN$14))</f>
        <v>15</v>
      </c>
      <c r="CO42" s="3">
        <f t="array" ref="CO42">SUMPRODUCT($J42:$U42,TRANSPOSE(CO$3:CO$14))</f>
        <v>15</v>
      </c>
      <c r="CP42" s="3">
        <f t="array" ref="CP42">SUMPRODUCT($J42:$U42,TRANSPOSE(CP$3:CP$14))</f>
        <v>20</v>
      </c>
      <c r="CQ42" s="3">
        <f t="array" ref="CQ42">SUMPRODUCT($J42:$U42,TRANSPOSE(CQ$3:CQ$14))</f>
        <v>20</v>
      </c>
      <c r="CR42" s="3">
        <f t="array" ref="CR42">SUMPRODUCT($J42:$U42,TRANSPOSE(CR$3:CR$14))</f>
        <v>20</v>
      </c>
      <c r="CS42" s="3">
        <f t="array" ref="CS42">SUMPRODUCT($J42:$U42,TRANSPOSE(CS$3:CS$14))</f>
        <v>20</v>
      </c>
      <c r="CT42" s="3">
        <f t="array" ref="CT42">SUMPRODUCT($J42:$U42,TRANSPOSE(CT$3:CT$14))</f>
        <v>10</v>
      </c>
      <c r="CU42" s="3">
        <f t="array" ref="CU42">SUMPRODUCT($J42:$U42,TRANSPOSE(CU$3:CU$14))</f>
        <v>0</v>
      </c>
      <c r="CV42" s="3">
        <f t="array" ref="CV42">SUMPRODUCT($J42:$U42,TRANSPOSE(CV$3:CV$14))</f>
        <v>0</v>
      </c>
      <c r="CW42" s="3">
        <f t="array" ref="CW42">SUMPRODUCT($J42:$U42,TRANSPOSE(CW$3:CW$14))</f>
        <v>0</v>
      </c>
      <c r="CX42" s="3">
        <f t="array" ref="CX42">SUMPRODUCT($J42:$U42,TRANSPOSE(CX$3:CX$14))</f>
        <v>0</v>
      </c>
      <c r="CY42" s="3">
        <f t="array" ref="CY42">SUMPRODUCT($J42:$U42,TRANSPOSE(CY$3:CY$14))</f>
        <v>0</v>
      </c>
      <c r="CZ42" s="3">
        <f t="array" ref="CZ42">SUMPRODUCT($J42:$U42,TRANSPOSE(CZ$3:CZ$14))</f>
        <v>0</v>
      </c>
      <c r="DA42" s="3">
        <f t="array" ref="DA42">SUMPRODUCT($J42:$U42,TRANSPOSE(DA$3:DA$14))</f>
        <v>0</v>
      </c>
      <c r="DB42" s="3">
        <f t="array" ref="DB42">SUMPRODUCT($J42:$U42,TRANSPOSE(DB$3:DB$14))</f>
        <v>0</v>
      </c>
      <c r="DC42" s="3">
        <f t="array" ref="DC42">SUMPRODUCT($J42:$U42,TRANSPOSE(DC$3:DC$14))</f>
        <v>0</v>
      </c>
      <c r="DD42" s="3">
        <f t="array" ref="DD42">SUMPRODUCT($J42:$U42,TRANSPOSE(DD$3:DD$14))</f>
        <v>0</v>
      </c>
      <c r="DE42" s="3">
        <f t="array" ref="DE42">SUMPRODUCT($J42:$U42,TRANSPOSE(DE$3:DE$14))</f>
        <v>0</v>
      </c>
    </row>
    <row r="43" spans="1:109" ht="13.5" thickBot="1" x14ac:dyDescent="0.25">
      <c r="A43" s="3">
        <v>60</v>
      </c>
      <c r="B43" s="9" t="s">
        <v>423</v>
      </c>
      <c r="C43" s="3" t="s">
        <v>13</v>
      </c>
      <c r="D43" s="3">
        <v>413256893</v>
      </c>
      <c r="F43" s="3" t="s">
        <v>424</v>
      </c>
      <c r="G43" s="3" t="s">
        <v>14</v>
      </c>
      <c r="H43" s="3">
        <v>1</v>
      </c>
      <c r="I43" s="3">
        <v>2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f t="shared" si="37"/>
        <v>2</v>
      </c>
      <c r="W43" s="3">
        <f t="shared" si="38"/>
        <v>260</v>
      </c>
      <c r="X43" s="8" t="s">
        <v>363</v>
      </c>
      <c r="Y43" s="3">
        <v>0.9</v>
      </c>
      <c r="Z43" s="3" t="s">
        <v>39</v>
      </c>
      <c r="AA43" s="3" t="s">
        <v>40</v>
      </c>
      <c r="AB43" s="3" t="s">
        <v>41</v>
      </c>
      <c r="AC43" s="3" t="s">
        <v>42</v>
      </c>
      <c r="BJ43" s="3">
        <f>SUM($AE43,$AF43:AH43)-SUM($CH43:CK43)</f>
        <v>0</v>
      </c>
      <c r="BK43" s="3">
        <f>SUM($AE43,$AF43:AI43)-SUM($CH43:CL43)</f>
        <v>0</v>
      </c>
      <c r="BL43" s="3">
        <f>SUM($AE43,$AF43:AJ43)-SUM($CH43:CM43)</f>
        <v>-20</v>
      </c>
      <c r="BM43" s="3">
        <f>SUM($AE43,$AF43:AK43)-SUM($CH43:CN43)</f>
        <v>-50</v>
      </c>
      <c r="BN43" s="3">
        <f>SUM($AE43,$AF43:AL43)-SUM($CH43:CO43)</f>
        <v>-80</v>
      </c>
      <c r="BO43" s="3">
        <f>SUM($AE43,$AF43:AM43)-SUM($CH43:CP43)</f>
        <v>-120</v>
      </c>
      <c r="BP43" s="3">
        <f>SUM($AE43,$AF43:AN43)-SUM($CH43:CQ43)</f>
        <v>-160</v>
      </c>
      <c r="BQ43" s="3">
        <f>SUM($AE43,$AF43:AO43)-SUM($CH43:CR43)</f>
        <v>-200</v>
      </c>
      <c r="BR43" s="3">
        <f>SUM($AE43,$AF43:AP43)-SUM($CH43:CS43)</f>
        <v>-240</v>
      </c>
      <c r="BS43" s="3">
        <f>SUM($AE43,$AF43:AQ43)-SUM($CH43:CT43)</f>
        <v>-260</v>
      </c>
      <c r="BT43" s="3">
        <f>SUM($AE43,$AF43:AR43)-SUM($CH43:CU43)</f>
        <v>-260</v>
      </c>
      <c r="BU43" s="3">
        <f>SUM($AE43,$AF43:AS43)-SUM($CH43:CV43)</f>
        <v>-260</v>
      </c>
      <c r="BV43" s="3">
        <f>SUM($AE43,$AF43:AT43)-SUM($CH43:CW43)</f>
        <v>-260</v>
      </c>
      <c r="BW43" s="3">
        <f>SUM($AE43,$AF43:AU43)-SUM($CH43:CX43)</f>
        <v>-260</v>
      </c>
      <c r="BX43" s="3">
        <f>SUM($AE43,$AF43:AV43)-SUM($CH43:CY43)</f>
        <v>-260</v>
      </c>
      <c r="BY43" s="3">
        <f>SUM($AE43,$AF43:AW43)-SUM($CH43:CZ43)</f>
        <v>-260</v>
      </c>
      <c r="BZ43" s="3">
        <f>SUM($AE43,$AF43:AX43)-SUM($CH43:DA43)</f>
        <v>-260</v>
      </c>
      <c r="CA43" s="3">
        <f>SUM($AE43,$AF43:AY43)-SUM($CH43:DB43)</f>
        <v>-260</v>
      </c>
      <c r="CB43" s="3">
        <f>SUM($AE43,$AF43:AZ43)-SUM($CH43:DC43)</f>
        <v>-260</v>
      </c>
      <c r="CC43" s="3">
        <f>SUM($AE43,$AF43:BA43)-SUM($CH43:DD43)</f>
        <v>-260</v>
      </c>
      <c r="CI43" s="3">
        <f t="array" ref="CI43">SUMPRODUCT($J43:$U43,TRANSPOSE(CI$3:CI$14))</f>
        <v>0</v>
      </c>
      <c r="CJ43" s="3">
        <f t="array" ref="CJ43">SUMPRODUCT($J43:$U43,TRANSPOSE(CJ$3:CJ$14))</f>
        <v>0</v>
      </c>
      <c r="CK43" s="3">
        <f t="array" ref="CK43">SUMPRODUCT($J43:$U43,TRANSPOSE(CK$3:CK$14))</f>
        <v>0</v>
      </c>
      <c r="CL43" s="3">
        <f t="array" ref="CL43">SUMPRODUCT($J43:$U43,TRANSPOSE(CL$3:CL$14))</f>
        <v>0</v>
      </c>
      <c r="CM43" s="3">
        <f t="array" ref="CM43">SUMPRODUCT($J43:$U43,TRANSPOSE(CM$3:CM$14))</f>
        <v>20</v>
      </c>
      <c r="CN43" s="3">
        <f t="array" ref="CN43">SUMPRODUCT($J43:$U43,TRANSPOSE(CN$3:CN$14))</f>
        <v>30</v>
      </c>
      <c r="CO43" s="3">
        <f t="array" ref="CO43">SUMPRODUCT($J43:$U43,TRANSPOSE(CO$3:CO$14))</f>
        <v>30</v>
      </c>
      <c r="CP43" s="3">
        <f t="array" ref="CP43">SUMPRODUCT($J43:$U43,TRANSPOSE(CP$3:CP$14))</f>
        <v>40</v>
      </c>
      <c r="CQ43" s="3">
        <f t="array" ref="CQ43">SUMPRODUCT($J43:$U43,TRANSPOSE(CQ$3:CQ$14))</f>
        <v>40</v>
      </c>
      <c r="CR43" s="3">
        <f t="array" ref="CR43">SUMPRODUCT($J43:$U43,TRANSPOSE(CR$3:CR$14))</f>
        <v>40</v>
      </c>
      <c r="CS43" s="3">
        <f t="array" ref="CS43">SUMPRODUCT($J43:$U43,TRANSPOSE(CS$3:CS$14))</f>
        <v>40</v>
      </c>
      <c r="CT43" s="3">
        <f t="array" ref="CT43">SUMPRODUCT($J43:$U43,TRANSPOSE(CT$3:CT$14))</f>
        <v>20</v>
      </c>
      <c r="CU43" s="3">
        <f t="array" ref="CU43">SUMPRODUCT($J43:$U43,TRANSPOSE(CU$3:CU$14))</f>
        <v>0</v>
      </c>
      <c r="CV43" s="3">
        <f t="array" ref="CV43">SUMPRODUCT($J43:$U43,TRANSPOSE(CV$3:CV$14))</f>
        <v>0</v>
      </c>
      <c r="CW43" s="3">
        <f t="array" ref="CW43">SUMPRODUCT($J43:$U43,TRANSPOSE(CW$3:CW$14))</f>
        <v>0</v>
      </c>
      <c r="CX43" s="3">
        <f t="array" ref="CX43">SUMPRODUCT($J43:$U43,TRANSPOSE(CX$3:CX$14))</f>
        <v>0</v>
      </c>
      <c r="CY43" s="3">
        <f t="array" ref="CY43">SUMPRODUCT($J43:$U43,TRANSPOSE(CY$3:CY$14))</f>
        <v>0</v>
      </c>
      <c r="CZ43" s="3">
        <f t="array" ref="CZ43">SUMPRODUCT($J43:$U43,TRANSPOSE(CZ$3:CZ$14))</f>
        <v>0</v>
      </c>
      <c r="DA43" s="3">
        <f t="array" ref="DA43">SUMPRODUCT($J43:$U43,TRANSPOSE(DA$3:DA$14))</f>
        <v>0</v>
      </c>
      <c r="DB43" s="3">
        <f t="array" ref="DB43">SUMPRODUCT($J43:$U43,TRANSPOSE(DB$3:DB$14))</f>
        <v>0</v>
      </c>
      <c r="DC43" s="3">
        <f t="array" ref="DC43">SUMPRODUCT($J43:$U43,TRANSPOSE(DC$3:DC$14))</f>
        <v>0</v>
      </c>
      <c r="DD43" s="3">
        <f t="array" ref="DD43">SUMPRODUCT($J43:$U43,TRANSPOSE(DD$3:DD$14))</f>
        <v>0</v>
      </c>
      <c r="DE43" s="3">
        <f t="array" ref="DE43">SUMPRODUCT($J43:$U43,TRANSPOSE(DE$3:DE$14))</f>
        <v>0</v>
      </c>
    </row>
    <row r="44" spans="1:109" ht="13.5" thickBot="1" x14ac:dyDescent="0.25">
      <c r="A44" s="3">
        <v>61</v>
      </c>
      <c r="B44" s="9" t="s">
        <v>425</v>
      </c>
      <c r="C44" s="3" t="s">
        <v>13</v>
      </c>
      <c r="D44" s="3">
        <v>412687032</v>
      </c>
      <c r="F44" s="3" t="s">
        <v>426</v>
      </c>
      <c r="G44" s="3" t="s">
        <v>14</v>
      </c>
      <c r="H44" s="3">
        <v>1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f t="shared" si="37"/>
        <v>1</v>
      </c>
      <c r="W44" s="3">
        <f t="shared" si="38"/>
        <v>130</v>
      </c>
      <c r="X44" s="8" t="s">
        <v>363</v>
      </c>
      <c r="Y44" s="3">
        <v>1200</v>
      </c>
      <c r="Z44" s="3" t="s">
        <v>55</v>
      </c>
      <c r="AA44" s="3" t="s">
        <v>56</v>
      </c>
      <c r="AB44" s="3">
        <v>91.973118825300006</v>
      </c>
      <c r="AC44" s="3" t="s">
        <v>57</v>
      </c>
      <c r="BJ44" s="3">
        <f>SUM($AE44,$AF44:AH44)-SUM($CH44:CK44)</f>
        <v>0</v>
      </c>
      <c r="BK44" s="3">
        <f>SUM($AE44,$AF44:AI44)-SUM($CH44:CL44)</f>
        <v>0</v>
      </c>
      <c r="BL44" s="3">
        <f>SUM($AE44,$AF44:AJ44)-SUM($CH44:CM44)</f>
        <v>-10</v>
      </c>
      <c r="BM44" s="3">
        <f>SUM($AE44,$AF44:AK44)-SUM($CH44:CN44)</f>
        <v>-25</v>
      </c>
      <c r="BN44" s="3">
        <f>SUM($AE44,$AF44:AL44)-SUM($CH44:CO44)</f>
        <v>-40</v>
      </c>
      <c r="BO44" s="3">
        <f>SUM($AE44,$AF44:AM44)-SUM($CH44:CP44)</f>
        <v>-60</v>
      </c>
      <c r="BP44" s="3">
        <f>SUM($AE44,$AF44:AN44)-SUM($CH44:CQ44)</f>
        <v>-80</v>
      </c>
      <c r="BQ44" s="3">
        <f>SUM($AE44,$AF44:AO44)-SUM($CH44:CR44)</f>
        <v>-100</v>
      </c>
      <c r="BR44" s="3">
        <f>SUM($AE44,$AF44:AP44)-SUM($CH44:CS44)</f>
        <v>-120</v>
      </c>
      <c r="BS44" s="3">
        <f>SUM($AE44,$AF44:AQ44)-SUM($CH44:CT44)</f>
        <v>-130</v>
      </c>
      <c r="BT44" s="3">
        <f>SUM($AE44,$AF44:AR44)-SUM($CH44:CU44)</f>
        <v>-130</v>
      </c>
      <c r="BU44" s="3">
        <f>SUM($AE44,$AF44:AS44)-SUM($CH44:CV44)</f>
        <v>-130</v>
      </c>
      <c r="BV44" s="3">
        <f>SUM($AE44,$AF44:AT44)-SUM($CH44:CW44)</f>
        <v>-130</v>
      </c>
      <c r="BW44" s="3">
        <f>SUM($AE44,$AF44:AU44)-SUM($CH44:CX44)</f>
        <v>-130</v>
      </c>
      <c r="BX44" s="3">
        <f>SUM($AE44,$AF44:AV44)-SUM($CH44:CY44)</f>
        <v>-130</v>
      </c>
      <c r="BY44" s="3">
        <f>SUM($AE44,$AF44:AW44)-SUM($CH44:CZ44)</f>
        <v>-130</v>
      </c>
      <c r="BZ44" s="3">
        <f>SUM($AE44,$AF44:AX44)-SUM($CH44:DA44)</f>
        <v>-130</v>
      </c>
      <c r="CA44" s="3">
        <f>SUM($AE44,$AF44:AY44)-SUM($CH44:DB44)</f>
        <v>-130</v>
      </c>
      <c r="CB44" s="3">
        <f>SUM($AE44,$AF44:AZ44)-SUM($CH44:DC44)</f>
        <v>-130</v>
      </c>
      <c r="CC44" s="3">
        <f>SUM($AE44,$AF44:BA44)-SUM($CH44:DD44)</f>
        <v>-130</v>
      </c>
      <c r="CI44" s="3">
        <f t="array" ref="CI44">SUMPRODUCT($J44:$U44,TRANSPOSE(CI$3:CI$14))</f>
        <v>0</v>
      </c>
      <c r="CJ44" s="3">
        <f t="array" ref="CJ44">SUMPRODUCT($J44:$U44,TRANSPOSE(CJ$3:CJ$14))</f>
        <v>0</v>
      </c>
      <c r="CK44" s="3">
        <f t="array" ref="CK44">SUMPRODUCT($J44:$U44,TRANSPOSE(CK$3:CK$14))</f>
        <v>0</v>
      </c>
      <c r="CL44" s="3">
        <f t="array" ref="CL44">SUMPRODUCT($J44:$U44,TRANSPOSE(CL$3:CL$14))</f>
        <v>0</v>
      </c>
      <c r="CM44" s="3">
        <f t="array" ref="CM44">SUMPRODUCT($J44:$U44,TRANSPOSE(CM$3:CM$14))</f>
        <v>10</v>
      </c>
      <c r="CN44" s="3">
        <f t="array" ref="CN44">SUMPRODUCT($J44:$U44,TRANSPOSE(CN$3:CN$14))</f>
        <v>15</v>
      </c>
      <c r="CO44" s="3">
        <f t="array" ref="CO44">SUMPRODUCT($J44:$U44,TRANSPOSE(CO$3:CO$14))</f>
        <v>15</v>
      </c>
      <c r="CP44" s="3">
        <f t="array" ref="CP44">SUMPRODUCT($J44:$U44,TRANSPOSE(CP$3:CP$14))</f>
        <v>20</v>
      </c>
      <c r="CQ44" s="3">
        <f t="array" ref="CQ44">SUMPRODUCT($J44:$U44,TRANSPOSE(CQ$3:CQ$14))</f>
        <v>20</v>
      </c>
      <c r="CR44" s="3">
        <f t="array" ref="CR44">SUMPRODUCT($J44:$U44,TRANSPOSE(CR$3:CR$14))</f>
        <v>20</v>
      </c>
      <c r="CS44" s="3">
        <f t="array" ref="CS44">SUMPRODUCT($J44:$U44,TRANSPOSE(CS$3:CS$14))</f>
        <v>20</v>
      </c>
      <c r="CT44" s="3">
        <f t="array" ref="CT44">SUMPRODUCT($J44:$U44,TRANSPOSE(CT$3:CT$14))</f>
        <v>10</v>
      </c>
      <c r="CU44" s="3">
        <f t="array" ref="CU44">SUMPRODUCT($J44:$U44,TRANSPOSE(CU$3:CU$14))</f>
        <v>0</v>
      </c>
      <c r="CV44" s="3">
        <f t="array" ref="CV44">SUMPRODUCT($J44:$U44,TRANSPOSE(CV$3:CV$14))</f>
        <v>0</v>
      </c>
      <c r="CW44" s="3">
        <f t="array" ref="CW44">SUMPRODUCT($J44:$U44,TRANSPOSE(CW$3:CW$14))</f>
        <v>0</v>
      </c>
      <c r="CX44" s="3">
        <f t="array" ref="CX44">SUMPRODUCT($J44:$U44,TRANSPOSE(CX$3:CX$14))</f>
        <v>0</v>
      </c>
      <c r="CY44" s="3">
        <f t="array" ref="CY44">SUMPRODUCT($J44:$U44,TRANSPOSE(CY$3:CY$14))</f>
        <v>0</v>
      </c>
      <c r="CZ44" s="3">
        <f t="array" ref="CZ44">SUMPRODUCT($J44:$U44,TRANSPOSE(CZ$3:CZ$14))</f>
        <v>0</v>
      </c>
      <c r="DA44" s="3">
        <f t="array" ref="DA44">SUMPRODUCT($J44:$U44,TRANSPOSE(DA$3:DA$14))</f>
        <v>0</v>
      </c>
      <c r="DB44" s="3">
        <f t="array" ref="DB44">SUMPRODUCT($J44:$U44,TRANSPOSE(DB$3:DB$14))</f>
        <v>0</v>
      </c>
      <c r="DC44" s="3">
        <f t="array" ref="DC44">SUMPRODUCT($J44:$U44,TRANSPOSE(DC$3:DC$14))</f>
        <v>0</v>
      </c>
      <c r="DD44" s="3">
        <f t="array" ref="DD44">SUMPRODUCT($J44:$U44,TRANSPOSE(DD$3:DD$14))</f>
        <v>0</v>
      </c>
      <c r="DE44" s="3">
        <f t="array" ref="DE44">SUMPRODUCT($J44:$U44,TRANSPOSE(DE$3:DE$14))</f>
        <v>0</v>
      </c>
    </row>
    <row r="45" spans="1:109" ht="13.5" thickBot="1" x14ac:dyDescent="0.25">
      <c r="A45" s="3">
        <v>66</v>
      </c>
      <c r="B45" s="9" t="s">
        <v>427</v>
      </c>
      <c r="C45" s="3" t="s">
        <v>37</v>
      </c>
      <c r="D45" s="16">
        <v>413867017</v>
      </c>
      <c r="F45" s="3" t="s">
        <v>428</v>
      </c>
      <c r="G45" s="3" t="s">
        <v>14</v>
      </c>
      <c r="H45" s="3">
        <v>1</v>
      </c>
      <c r="I45" s="3">
        <v>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f t="shared" si="37"/>
        <v>1</v>
      </c>
      <c r="W45" s="3">
        <f t="shared" si="38"/>
        <v>130</v>
      </c>
      <c r="X45" s="6" t="s">
        <v>50</v>
      </c>
      <c r="Y45" s="17"/>
      <c r="Z45" s="3" t="s">
        <v>50</v>
      </c>
      <c r="AA45" s="3" t="s">
        <v>50</v>
      </c>
      <c r="AD45" s="3" t="s">
        <v>50</v>
      </c>
      <c r="BJ45" s="3">
        <f>SUM($AE45,$AF45:AH45)-SUM($CH45:CK45)</f>
        <v>0</v>
      </c>
      <c r="BK45" s="3">
        <f>SUM($AE45,$AF45:AI45)-SUM($CH45:CL45)</f>
        <v>0</v>
      </c>
      <c r="BL45" s="3">
        <f>SUM($AE45,$AF45:AJ45)-SUM($CH45:CM45)</f>
        <v>-10</v>
      </c>
      <c r="BM45" s="3">
        <f>SUM($AE45,$AF45:AK45)-SUM($CH45:CN45)</f>
        <v>-25</v>
      </c>
      <c r="BN45" s="3">
        <f>SUM($AE45,$AF45:AL45)-SUM($CH45:CO45)</f>
        <v>-40</v>
      </c>
      <c r="BO45" s="3">
        <f>SUM($AE45,$AF45:AM45)-SUM($CH45:CP45)</f>
        <v>-60</v>
      </c>
      <c r="BP45" s="3">
        <f>SUM($AE45,$AF45:AN45)-SUM($CH45:CQ45)</f>
        <v>-80</v>
      </c>
      <c r="BQ45" s="3">
        <f>SUM($AE45,$AF45:AO45)-SUM($CH45:CR45)</f>
        <v>-100</v>
      </c>
      <c r="BR45" s="3">
        <f>SUM($AE45,$AF45:AP45)-SUM($CH45:CS45)</f>
        <v>-120</v>
      </c>
      <c r="BS45" s="3">
        <f>SUM($AE45,$AF45:AQ45)-SUM($CH45:CT45)</f>
        <v>-130</v>
      </c>
      <c r="BT45" s="3">
        <f>SUM($AE45,$AF45:AR45)-SUM($CH45:CU45)</f>
        <v>-130</v>
      </c>
      <c r="BU45" s="3">
        <f>SUM($AE45,$AF45:AS45)-SUM($CH45:CV45)</f>
        <v>-130</v>
      </c>
      <c r="BV45" s="3">
        <f>SUM($AE45,$AF45:AT45)-SUM($CH45:CW45)</f>
        <v>-130</v>
      </c>
      <c r="BW45" s="3">
        <f>SUM($AE45,$AF45:AU45)-SUM($CH45:CX45)</f>
        <v>-130</v>
      </c>
      <c r="BX45" s="3">
        <f>SUM($AE45,$AF45:AV45)-SUM($CH45:CY45)</f>
        <v>-130</v>
      </c>
      <c r="BY45" s="3">
        <f>SUM($AE45,$AF45:AW45)-SUM($CH45:CZ45)</f>
        <v>-130</v>
      </c>
      <c r="BZ45" s="3">
        <f>SUM($AE45,$AF45:AX45)-SUM($CH45:DA45)</f>
        <v>-130</v>
      </c>
      <c r="CA45" s="3">
        <f>SUM($AE45,$AF45:AY45)-SUM($CH45:DB45)</f>
        <v>-130</v>
      </c>
      <c r="CB45" s="3">
        <f>SUM($AE45,$AF45:AZ45)-SUM($CH45:DC45)</f>
        <v>-130</v>
      </c>
      <c r="CC45" s="3">
        <f>SUM($AE45,$AF45:BA45)-SUM($CH45:DD45)</f>
        <v>-130</v>
      </c>
      <c r="CI45" s="3">
        <f t="array" ref="CI45">SUMPRODUCT($J45:$U45,TRANSPOSE(CI$3:CI$14))</f>
        <v>0</v>
      </c>
      <c r="CJ45" s="3">
        <f t="array" ref="CJ45">SUMPRODUCT($J45:$U45,TRANSPOSE(CJ$3:CJ$14))</f>
        <v>0</v>
      </c>
      <c r="CK45" s="3">
        <f t="array" ref="CK45">SUMPRODUCT($J45:$U45,TRANSPOSE(CK$3:CK$14))</f>
        <v>0</v>
      </c>
      <c r="CL45" s="3">
        <f t="array" ref="CL45">SUMPRODUCT($J45:$U45,TRANSPOSE(CL$3:CL$14))</f>
        <v>0</v>
      </c>
      <c r="CM45" s="3">
        <f t="array" ref="CM45">SUMPRODUCT($J45:$U45,TRANSPOSE(CM$3:CM$14))</f>
        <v>10</v>
      </c>
      <c r="CN45" s="3">
        <f t="array" ref="CN45">SUMPRODUCT($J45:$U45,TRANSPOSE(CN$3:CN$14))</f>
        <v>15</v>
      </c>
      <c r="CO45" s="3">
        <f t="array" ref="CO45">SUMPRODUCT($J45:$U45,TRANSPOSE(CO$3:CO$14))</f>
        <v>15</v>
      </c>
      <c r="CP45" s="3">
        <f t="array" ref="CP45">SUMPRODUCT($J45:$U45,TRANSPOSE(CP$3:CP$14))</f>
        <v>20</v>
      </c>
      <c r="CQ45" s="3">
        <f t="array" ref="CQ45">SUMPRODUCT($J45:$U45,TRANSPOSE(CQ$3:CQ$14))</f>
        <v>20</v>
      </c>
      <c r="CR45" s="3">
        <f t="array" ref="CR45">SUMPRODUCT($J45:$U45,TRANSPOSE(CR$3:CR$14))</f>
        <v>20</v>
      </c>
      <c r="CS45" s="3">
        <f t="array" ref="CS45">SUMPRODUCT($J45:$U45,TRANSPOSE(CS$3:CS$14))</f>
        <v>20</v>
      </c>
      <c r="CT45" s="3">
        <f t="array" ref="CT45">SUMPRODUCT($J45:$U45,TRANSPOSE(CT$3:CT$14))</f>
        <v>10</v>
      </c>
      <c r="CU45" s="3">
        <f t="array" ref="CU45">SUMPRODUCT($J45:$U45,TRANSPOSE(CU$3:CU$14))</f>
        <v>0</v>
      </c>
      <c r="CV45" s="3">
        <f t="array" ref="CV45">SUMPRODUCT($J45:$U45,TRANSPOSE(CV$3:CV$14))</f>
        <v>0</v>
      </c>
      <c r="CW45" s="3">
        <f t="array" ref="CW45">SUMPRODUCT($J45:$U45,TRANSPOSE(CW$3:CW$14))</f>
        <v>0</v>
      </c>
      <c r="CX45" s="3">
        <f t="array" ref="CX45">SUMPRODUCT($J45:$U45,TRANSPOSE(CX$3:CX$14))</f>
        <v>0</v>
      </c>
      <c r="CY45" s="3">
        <f t="array" ref="CY45">SUMPRODUCT($J45:$U45,TRANSPOSE(CY$3:CY$14))</f>
        <v>0</v>
      </c>
      <c r="CZ45" s="3">
        <f t="array" ref="CZ45">SUMPRODUCT($J45:$U45,TRANSPOSE(CZ$3:CZ$14))</f>
        <v>0</v>
      </c>
      <c r="DA45" s="3">
        <f t="array" ref="DA45">SUMPRODUCT($J45:$U45,TRANSPOSE(DA$3:DA$14))</f>
        <v>0</v>
      </c>
      <c r="DB45" s="3">
        <f t="array" ref="DB45">SUMPRODUCT($J45:$U45,TRANSPOSE(DB$3:DB$14))</f>
        <v>0</v>
      </c>
      <c r="DC45" s="3">
        <f t="array" ref="DC45">SUMPRODUCT($J45:$U45,TRANSPOSE(DC$3:DC$14))</f>
        <v>0</v>
      </c>
      <c r="DD45" s="3">
        <f t="array" ref="DD45">SUMPRODUCT($J45:$U45,TRANSPOSE(DD$3:DD$14))</f>
        <v>0</v>
      </c>
      <c r="DE45" s="3">
        <f t="array" ref="DE45">SUMPRODUCT($J45:$U45,TRANSPOSE(DE$3:DE$14))</f>
        <v>0</v>
      </c>
    </row>
    <row r="46" spans="1:109" ht="13.5" thickBot="1" x14ac:dyDescent="0.25">
      <c r="A46" s="3">
        <v>68</v>
      </c>
      <c r="B46" s="9" t="s">
        <v>429</v>
      </c>
      <c r="C46" s="3">
        <v>-1</v>
      </c>
      <c r="D46" s="3">
        <v>417967195</v>
      </c>
      <c r="F46" s="3" t="s">
        <v>430</v>
      </c>
      <c r="G46" s="3" t="s">
        <v>14</v>
      </c>
      <c r="H46" s="3">
        <v>1</v>
      </c>
      <c r="I46" s="3">
        <v>1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f t="shared" si="37"/>
        <v>1</v>
      </c>
      <c r="W46" s="3">
        <f t="shared" si="38"/>
        <v>130</v>
      </c>
      <c r="X46" s="8" t="s">
        <v>50</v>
      </c>
      <c r="Z46" s="3" t="s">
        <v>50</v>
      </c>
      <c r="AA46" s="3" t="s">
        <v>50</v>
      </c>
      <c r="AD46" s="3" t="s">
        <v>50</v>
      </c>
      <c r="BJ46" s="3">
        <f>SUM($AE46,$AF46:AH46)-SUM($CH46:CK46)</f>
        <v>0</v>
      </c>
      <c r="BK46" s="3">
        <f>SUM($AE46,$AF46:AI46)-SUM($CH46:CL46)</f>
        <v>-10</v>
      </c>
      <c r="BL46" s="3">
        <f>SUM($AE46,$AF46:AJ46)-SUM($CH46:CM46)</f>
        <v>-25</v>
      </c>
      <c r="BM46" s="3">
        <f>SUM($AE46,$AF46:AK46)-SUM($CH46:CN46)</f>
        <v>-40</v>
      </c>
      <c r="BN46" s="3">
        <f>SUM($AE46,$AF46:AL46)-SUM($CH46:CO46)</f>
        <v>-60</v>
      </c>
      <c r="BO46" s="3">
        <f>SUM($AE46,$AF46:AM46)-SUM($CH46:CP46)</f>
        <v>-80</v>
      </c>
      <c r="BP46" s="3">
        <f>SUM($AE46,$AF46:AN46)-SUM($CH46:CQ46)</f>
        <v>-100</v>
      </c>
      <c r="BQ46" s="3">
        <f>SUM($AE46,$AF46:AO46)-SUM($CH46:CR46)</f>
        <v>-120</v>
      </c>
      <c r="BR46" s="3">
        <f>SUM($AE46,$AF46:AP46)-SUM($CH46:CS46)</f>
        <v>-130</v>
      </c>
      <c r="BS46" s="3">
        <f>SUM($AE46,$AF46:AQ46)-SUM($CH46:CT46)</f>
        <v>-130</v>
      </c>
      <c r="BT46" s="3">
        <f>SUM($AE46,$AF46:AR46)-SUM($CH46:CU46)</f>
        <v>-130</v>
      </c>
      <c r="BU46" s="3">
        <f>SUM($AE46,$AF46:AS46)-SUM($CH46:CV46)</f>
        <v>-130</v>
      </c>
      <c r="BV46" s="3">
        <f>SUM($AE46,$AF46:AT46)-SUM($CH46:CW46)</f>
        <v>-130</v>
      </c>
      <c r="BW46" s="3">
        <f>SUM($AE46,$AF46:AU46)-SUM($CH46:CX46)</f>
        <v>-130</v>
      </c>
      <c r="BX46" s="3">
        <f>SUM($AE46,$AF46:AV46)-SUM($CH46:CY46)</f>
        <v>-130</v>
      </c>
      <c r="BY46" s="3">
        <f>SUM($AE46,$AF46:AW46)-SUM($CH46:CZ46)</f>
        <v>-130</v>
      </c>
      <c r="BZ46" s="3">
        <f>SUM($AE46,$AF46:AX46)-SUM($CH46:DA46)</f>
        <v>-130</v>
      </c>
      <c r="CA46" s="3">
        <f>SUM($AE46,$AF46:AY46)-SUM($CH46:DB46)</f>
        <v>-130</v>
      </c>
      <c r="CB46" s="3">
        <f>SUM($AE46,$AF46:AZ46)-SUM($CH46:DC46)</f>
        <v>-130</v>
      </c>
      <c r="CC46" s="3">
        <f>SUM($AE46,$AF46:BA46)-SUM($CH46:DD46)</f>
        <v>-130</v>
      </c>
      <c r="CI46" s="3">
        <f t="array" ref="CI46">SUMPRODUCT($J46:$U46,TRANSPOSE(CI$3:CI$14))</f>
        <v>0</v>
      </c>
      <c r="CJ46" s="3">
        <f t="array" ref="CJ46">SUMPRODUCT($J46:$U46,TRANSPOSE(CJ$3:CJ$14))</f>
        <v>0</v>
      </c>
      <c r="CK46" s="3">
        <f t="array" ref="CK46">SUMPRODUCT($J46:$U46,TRANSPOSE(CK$3:CK$14))</f>
        <v>0</v>
      </c>
      <c r="CL46" s="3">
        <f t="array" ref="CL46">SUMPRODUCT($J46:$U46,TRANSPOSE(CL$3:CL$14))</f>
        <v>10</v>
      </c>
      <c r="CM46" s="3">
        <f t="array" ref="CM46">SUMPRODUCT($J46:$U46,TRANSPOSE(CM$3:CM$14))</f>
        <v>15</v>
      </c>
      <c r="CN46" s="3">
        <f t="array" ref="CN46">SUMPRODUCT($J46:$U46,TRANSPOSE(CN$3:CN$14))</f>
        <v>15</v>
      </c>
      <c r="CO46" s="3">
        <f t="array" ref="CO46">SUMPRODUCT($J46:$U46,TRANSPOSE(CO$3:CO$14))</f>
        <v>20</v>
      </c>
      <c r="CP46" s="3">
        <f t="array" ref="CP46">SUMPRODUCT($J46:$U46,TRANSPOSE(CP$3:CP$14))</f>
        <v>20</v>
      </c>
      <c r="CQ46" s="3">
        <f t="array" ref="CQ46">SUMPRODUCT($J46:$U46,TRANSPOSE(CQ$3:CQ$14))</f>
        <v>20</v>
      </c>
      <c r="CR46" s="3">
        <f t="array" ref="CR46">SUMPRODUCT($J46:$U46,TRANSPOSE(CR$3:CR$14))</f>
        <v>20</v>
      </c>
      <c r="CS46" s="3">
        <f t="array" ref="CS46">SUMPRODUCT($J46:$U46,TRANSPOSE(CS$3:CS$14))</f>
        <v>10</v>
      </c>
      <c r="CT46" s="3">
        <f t="array" ref="CT46">SUMPRODUCT($J46:$U46,TRANSPOSE(CT$3:CT$14))</f>
        <v>0</v>
      </c>
      <c r="CU46" s="3">
        <f t="array" ref="CU46">SUMPRODUCT($J46:$U46,TRANSPOSE(CU$3:CU$14))</f>
        <v>0</v>
      </c>
      <c r="CV46" s="3">
        <f t="array" ref="CV46">SUMPRODUCT($J46:$U46,TRANSPOSE(CV$3:CV$14))</f>
        <v>0</v>
      </c>
      <c r="CW46" s="3">
        <f t="array" ref="CW46">SUMPRODUCT($J46:$U46,TRANSPOSE(CW$3:CW$14))</f>
        <v>0</v>
      </c>
      <c r="CX46" s="3">
        <f t="array" ref="CX46">SUMPRODUCT($J46:$U46,TRANSPOSE(CX$3:CX$14))</f>
        <v>0</v>
      </c>
      <c r="CY46" s="3">
        <f t="array" ref="CY46">SUMPRODUCT($J46:$U46,TRANSPOSE(CY$3:CY$14))</f>
        <v>0</v>
      </c>
      <c r="CZ46" s="3">
        <f t="array" ref="CZ46">SUMPRODUCT($J46:$U46,TRANSPOSE(CZ$3:CZ$14))</f>
        <v>0</v>
      </c>
      <c r="DA46" s="3">
        <f t="array" ref="DA46">SUMPRODUCT($J46:$U46,TRANSPOSE(DA$3:DA$14))</f>
        <v>0</v>
      </c>
      <c r="DB46" s="3">
        <f t="array" ref="DB46">SUMPRODUCT($J46:$U46,TRANSPOSE(DB$3:DB$14))</f>
        <v>0</v>
      </c>
      <c r="DC46" s="3">
        <f t="array" ref="DC46">SUMPRODUCT($J46:$U46,TRANSPOSE(DC$3:DC$14))</f>
        <v>0</v>
      </c>
      <c r="DD46" s="3">
        <f t="array" ref="DD46">SUMPRODUCT($J46:$U46,TRANSPOSE(DD$3:DD$14))</f>
        <v>0</v>
      </c>
      <c r="DE46" s="3">
        <f t="array" ref="DE46">SUMPRODUCT($J46:$U46,TRANSPOSE(DE$3:DE$14))</f>
        <v>0</v>
      </c>
    </row>
    <row r="47" spans="1:109" ht="13.5" thickBot="1" x14ac:dyDescent="0.25">
      <c r="A47" s="3">
        <v>69</v>
      </c>
      <c r="B47" s="9" t="s">
        <v>431</v>
      </c>
      <c r="C47" s="3" t="s">
        <v>37</v>
      </c>
      <c r="D47" s="3">
        <v>417009308</v>
      </c>
      <c r="F47" s="3" t="s">
        <v>432</v>
      </c>
      <c r="G47" s="3" t="s">
        <v>14</v>
      </c>
      <c r="H47" s="3">
        <v>1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f t="shared" ref="V47:V78" si="39">SUM(J47:U47)</f>
        <v>1</v>
      </c>
      <c r="W47" s="3">
        <f t="shared" si="38"/>
        <v>130</v>
      </c>
      <c r="X47" s="8" t="s">
        <v>363</v>
      </c>
      <c r="Y47" s="3">
        <v>8002</v>
      </c>
      <c r="Z47" s="3" t="s">
        <v>55</v>
      </c>
      <c r="AA47" s="3" t="s">
        <v>56</v>
      </c>
      <c r="AB47" s="3">
        <v>91.973118825300006</v>
      </c>
      <c r="AC47" s="3" t="s">
        <v>57</v>
      </c>
      <c r="BJ47" s="3">
        <f>SUM($AE47,$AF47:AH47)-SUM($CH47:CK47)</f>
        <v>0</v>
      </c>
      <c r="BK47" s="3">
        <f>SUM($AE47,$AF47:AI47)-SUM($CH47:CL47)</f>
        <v>0</v>
      </c>
      <c r="BL47" s="3">
        <f>SUM($AE47,$AF47:AJ47)-SUM($CH47:CM47)</f>
        <v>-10</v>
      </c>
      <c r="BM47" s="3">
        <f>SUM($AE47,$AF47:AK47)-SUM($CH47:CN47)</f>
        <v>-25</v>
      </c>
      <c r="BN47" s="3">
        <f>SUM($AE47,$AF47:AL47)-SUM($CH47:CO47)</f>
        <v>-40</v>
      </c>
      <c r="BO47" s="3">
        <f>SUM($AE47,$AF47:AM47)-SUM($CH47:CP47)</f>
        <v>-60</v>
      </c>
      <c r="BP47" s="3">
        <f>SUM($AE47,$AF47:AN47)-SUM($CH47:CQ47)</f>
        <v>-80</v>
      </c>
      <c r="BQ47" s="3">
        <f>SUM($AE47,$AF47:AO47)-SUM($CH47:CR47)</f>
        <v>-100</v>
      </c>
      <c r="BR47" s="3">
        <f>SUM($AE47,$AF47:AP47)-SUM($CH47:CS47)</f>
        <v>-120</v>
      </c>
      <c r="BS47" s="3">
        <f>SUM($AE47,$AF47:AQ47)-SUM($CH47:CT47)</f>
        <v>-130</v>
      </c>
      <c r="BT47" s="3">
        <f>SUM($AE47,$AF47:AR47)-SUM($CH47:CU47)</f>
        <v>-130</v>
      </c>
      <c r="BU47" s="3">
        <f>SUM($AE47,$AF47:AS47)-SUM($CH47:CV47)</f>
        <v>-130</v>
      </c>
      <c r="BV47" s="3">
        <f>SUM($AE47,$AF47:AT47)-SUM($CH47:CW47)</f>
        <v>-130</v>
      </c>
      <c r="BW47" s="3">
        <f>SUM($AE47,$AF47:AU47)-SUM($CH47:CX47)</f>
        <v>-130</v>
      </c>
      <c r="BX47" s="3">
        <f>SUM($AE47,$AF47:AV47)-SUM($CH47:CY47)</f>
        <v>-130</v>
      </c>
      <c r="BY47" s="3">
        <f>SUM($AE47,$AF47:AW47)-SUM($CH47:CZ47)</f>
        <v>-130</v>
      </c>
      <c r="BZ47" s="3">
        <f>SUM($AE47,$AF47:AX47)-SUM($CH47:DA47)</f>
        <v>-130</v>
      </c>
      <c r="CA47" s="3">
        <f>SUM($AE47,$AF47:AY47)-SUM($CH47:DB47)</f>
        <v>-130</v>
      </c>
      <c r="CB47" s="3">
        <f>SUM($AE47,$AF47:AZ47)-SUM($CH47:DC47)</f>
        <v>-130</v>
      </c>
      <c r="CC47" s="3">
        <f>SUM($AE47,$AF47:BA47)-SUM($CH47:DD47)</f>
        <v>-130</v>
      </c>
      <c r="CI47" s="3">
        <f t="array" ref="CI47">SUMPRODUCT($J47:$U47,TRANSPOSE(CI$3:CI$14))</f>
        <v>0</v>
      </c>
      <c r="CJ47" s="3">
        <f t="array" ref="CJ47">SUMPRODUCT($J47:$U47,TRANSPOSE(CJ$3:CJ$14))</f>
        <v>0</v>
      </c>
      <c r="CK47" s="3">
        <f t="array" ref="CK47">SUMPRODUCT($J47:$U47,TRANSPOSE(CK$3:CK$14))</f>
        <v>0</v>
      </c>
      <c r="CL47" s="3">
        <f t="array" ref="CL47">SUMPRODUCT($J47:$U47,TRANSPOSE(CL$3:CL$14))</f>
        <v>0</v>
      </c>
      <c r="CM47" s="3">
        <f t="array" ref="CM47">SUMPRODUCT($J47:$U47,TRANSPOSE(CM$3:CM$14))</f>
        <v>10</v>
      </c>
      <c r="CN47" s="3">
        <f t="array" ref="CN47">SUMPRODUCT($J47:$U47,TRANSPOSE(CN$3:CN$14))</f>
        <v>15</v>
      </c>
      <c r="CO47" s="3">
        <f t="array" ref="CO47">SUMPRODUCT($J47:$U47,TRANSPOSE(CO$3:CO$14))</f>
        <v>15</v>
      </c>
      <c r="CP47" s="3">
        <f t="array" ref="CP47">SUMPRODUCT($J47:$U47,TRANSPOSE(CP$3:CP$14))</f>
        <v>20</v>
      </c>
      <c r="CQ47" s="3">
        <f t="array" ref="CQ47">SUMPRODUCT($J47:$U47,TRANSPOSE(CQ$3:CQ$14))</f>
        <v>20</v>
      </c>
      <c r="CR47" s="3">
        <f t="array" ref="CR47">SUMPRODUCT($J47:$U47,TRANSPOSE(CR$3:CR$14))</f>
        <v>20</v>
      </c>
      <c r="CS47" s="3">
        <f t="array" ref="CS47">SUMPRODUCT($J47:$U47,TRANSPOSE(CS$3:CS$14))</f>
        <v>20</v>
      </c>
      <c r="CT47" s="3">
        <f t="array" ref="CT47">SUMPRODUCT($J47:$U47,TRANSPOSE(CT$3:CT$14))</f>
        <v>10</v>
      </c>
      <c r="CU47" s="3">
        <f t="array" ref="CU47">SUMPRODUCT($J47:$U47,TRANSPOSE(CU$3:CU$14))</f>
        <v>0</v>
      </c>
      <c r="CV47" s="3">
        <f t="array" ref="CV47">SUMPRODUCT($J47:$U47,TRANSPOSE(CV$3:CV$14))</f>
        <v>0</v>
      </c>
      <c r="CW47" s="3">
        <f t="array" ref="CW47">SUMPRODUCT($J47:$U47,TRANSPOSE(CW$3:CW$14))</f>
        <v>0</v>
      </c>
      <c r="CX47" s="3">
        <f t="array" ref="CX47">SUMPRODUCT($J47:$U47,TRANSPOSE(CX$3:CX$14))</f>
        <v>0</v>
      </c>
      <c r="CY47" s="3">
        <f t="array" ref="CY47">SUMPRODUCT($J47:$U47,TRANSPOSE(CY$3:CY$14))</f>
        <v>0</v>
      </c>
      <c r="CZ47" s="3">
        <f t="array" ref="CZ47">SUMPRODUCT($J47:$U47,TRANSPOSE(CZ$3:CZ$14))</f>
        <v>0</v>
      </c>
      <c r="DA47" s="3">
        <f t="array" ref="DA47">SUMPRODUCT($J47:$U47,TRANSPOSE(DA$3:DA$14))</f>
        <v>0</v>
      </c>
      <c r="DB47" s="3">
        <f t="array" ref="DB47">SUMPRODUCT($J47:$U47,TRANSPOSE(DB$3:DB$14))</f>
        <v>0</v>
      </c>
      <c r="DC47" s="3">
        <f t="array" ref="DC47">SUMPRODUCT($J47:$U47,TRANSPOSE(DC$3:DC$14))</f>
        <v>0</v>
      </c>
      <c r="DD47" s="3">
        <f t="array" ref="DD47">SUMPRODUCT($J47:$U47,TRANSPOSE(DD$3:DD$14))</f>
        <v>0</v>
      </c>
      <c r="DE47" s="3">
        <f t="array" ref="DE47">SUMPRODUCT($J47:$U47,TRANSPOSE(DE$3:DE$14))</f>
        <v>0</v>
      </c>
    </row>
    <row r="48" spans="1:109" ht="13.5" thickBot="1" x14ac:dyDescent="0.25">
      <c r="A48" s="3">
        <v>71</v>
      </c>
      <c r="B48" s="9" t="s">
        <v>433</v>
      </c>
      <c r="C48" s="3" t="s">
        <v>13</v>
      </c>
      <c r="D48" s="3">
        <v>418022948</v>
      </c>
      <c r="F48" s="3" t="s">
        <v>434</v>
      </c>
      <c r="G48" s="3" t="s">
        <v>14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f t="shared" si="39"/>
        <v>1</v>
      </c>
      <c r="W48" s="3">
        <f t="shared" si="38"/>
        <v>130</v>
      </c>
      <c r="X48" s="8" t="s">
        <v>363</v>
      </c>
      <c r="Y48" s="3">
        <v>740.44</v>
      </c>
      <c r="Z48" s="3" t="s">
        <v>60</v>
      </c>
      <c r="AA48" s="3" t="s">
        <v>61</v>
      </c>
      <c r="AB48" s="3" t="s">
        <v>62</v>
      </c>
      <c r="AC48" s="3" t="s">
        <v>63</v>
      </c>
      <c r="BJ48" s="3">
        <f>SUM($AE48,$AF48:AH48)-SUM($CH48:CK48)</f>
        <v>0</v>
      </c>
      <c r="BK48" s="3">
        <f>SUM($AE48,$AF48:AI48)-SUM($CH48:CL48)</f>
        <v>0</v>
      </c>
      <c r="BL48" s="3">
        <f>SUM($AE48,$AF48:AJ48)-SUM($CH48:CM48)</f>
        <v>-10</v>
      </c>
      <c r="BM48" s="3">
        <f>SUM($AE48,$AF48:AK48)-SUM($CH48:CN48)</f>
        <v>-25</v>
      </c>
      <c r="BN48" s="3">
        <f>SUM($AE48,$AF48:AL48)-SUM($CH48:CO48)</f>
        <v>-40</v>
      </c>
      <c r="BO48" s="3">
        <f>SUM($AE48,$AF48:AM48)-SUM($CH48:CP48)</f>
        <v>-60</v>
      </c>
      <c r="BP48" s="3">
        <f>SUM($AE48,$AF48:AN48)-SUM($CH48:CQ48)</f>
        <v>-80</v>
      </c>
      <c r="BQ48" s="3">
        <f>SUM($AE48,$AF48:AO48)-SUM($CH48:CR48)</f>
        <v>-100</v>
      </c>
      <c r="BR48" s="3">
        <f>SUM($AE48,$AF48:AP48)-SUM($CH48:CS48)</f>
        <v>-120</v>
      </c>
      <c r="BS48" s="3">
        <f>SUM($AE48,$AF48:AQ48)-SUM($CH48:CT48)</f>
        <v>-130</v>
      </c>
      <c r="BT48" s="3">
        <f>SUM($AE48,$AF48:AR48)-SUM($CH48:CU48)</f>
        <v>-130</v>
      </c>
      <c r="BU48" s="3">
        <f>SUM($AE48,$AF48:AS48)-SUM($CH48:CV48)</f>
        <v>-130</v>
      </c>
      <c r="BV48" s="3">
        <f>SUM($AE48,$AF48:AT48)-SUM($CH48:CW48)</f>
        <v>-130</v>
      </c>
      <c r="BW48" s="3">
        <f>SUM($AE48,$AF48:AU48)-SUM($CH48:CX48)</f>
        <v>-130</v>
      </c>
      <c r="BX48" s="3">
        <f>SUM($AE48,$AF48:AV48)-SUM($CH48:CY48)</f>
        <v>-130</v>
      </c>
      <c r="BY48" s="3">
        <f>SUM($AE48,$AF48:AW48)-SUM($CH48:CZ48)</f>
        <v>-130</v>
      </c>
      <c r="BZ48" s="3">
        <f>SUM($AE48,$AF48:AX48)-SUM($CH48:DA48)</f>
        <v>-130</v>
      </c>
      <c r="CA48" s="3">
        <f>SUM($AE48,$AF48:AY48)-SUM($CH48:DB48)</f>
        <v>-130</v>
      </c>
      <c r="CB48" s="3">
        <f>SUM($AE48,$AF48:AZ48)-SUM($CH48:DC48)</f>
        <v>-130</v>
      </c>
      <c r="CC48" s="3">
        <f>SUM($AE48,$AF48:BA48)-SUM($CH48:DD48)</f>
        <v>-130</v>
      </c>
      <c r="CI48" s="3">
        <f t="array" ref="CI48">SUMPRODUCT($J48:$U48,TRANSPOSE(CI$3:CI$14))</f>
        <v>0</v>
      </c>
      <c r="CJ48" s="3">
        <f t="array" ref="CJ48">SUMPRODUCT($J48:$U48,TRANSPOSE(CJ$3:CJ$14))</f>
        <v>0</v>
      </c>
      <c r="CK48" s="3">
        <f t="array" ref="CK48">SUMPRODUCT($J48:$U48,TRANSPOSE(CK$3:CK$14))</f>
        <v>0</v>
      </c>
      <c r="CL48" s="3">
        <f t="array" ref="CL48">SUMPRODUCT($J48:$U48,TRANSPOSE(CL$3:CL$14))</f>
        <v>0</v>
      </c>
      <c r="CM48" s="3">
        <f t="array" ref="CM48">SUMPRODUCT($J48:$U48,TRANSPOSE(CM$3:CM$14))</f>
        <v>10</v>
      </c>
      <c r="CN48" s="3">
        <f t="array" ref="CN48">SUMPRODUCT($J48:$U48,TRANSPOSE(CN$3:CN$14))</f>
        <v>15</v>
      </c>
      <c r="CO48" s="3">
        <f t="array" ref="CO48">SUMPRODUCT($J48:$U48,TRANSPOSE(CO$3:CO$14))</f>
        <v>15</v>
      </c>
      <c r="CP48" s="3">
        <f t="array" ref="CP48">SUMPRODUCT($J48:$U48,TRANSPOSE(CP$3:CP$14))</f>
        <v>20</v>
      </c>
      <c r="CQ48" s="3">
        <f t="array" ref="CQ48">SUMPRODUCT($J48:$U48,TRANSPOSE(CQ$3:CQ$14))</f>
        <v>20</v>
      </c>
      <c r="CR48" s="3">
        <f t="array" ref="CR48">SUMPRODUCT($J48:$U48,TRANSPOSE(CR$3:CR$14))</f>
        <v>20</v>
      </c>
      <c r="CS48" s="3">
        <f t="array" ref="CS48">SUMPRODUCT($J48:$U48,TRANSPOSE(CS$3:CS$14))</f>
        <v>20</v>
      </c>
      <c r="CT48" s="3">
        <f t="array" ref="CT48">SUMPRODUCT($J48:$U48,TRANSPOSE(CT$3:CT$14))</f>
        <v>10</v>
      </c>
      <c r="CU48" s="3">
        <f t="array" ref="CU48">SUMPRODUCT($J48:$U48,TRANSPOSE(CU$3:CU$14))</f>
        <v>0</v>
      </c>
      <c r="CV48" s="3">
        <f t="array" ref="CV48">SUMPRODUCT($J48:$U48,TRANSPOSE(CV$3:CV$14))</f>
        <v>0</v>
      </c>
      <c r="CW48" s="3">
        <f t="array" ref="CW48">SUMPRODUCT($J48:$U48,TRANSPOSE(CW$3:CW$14))</f>
        <v>0</v>
      </c>
      <c r="CX48" s="3">
        <f t="array" ref="CX48">SUMPRODUCT($J48:$U48,TRANSPOSE(CX$3:CX$14))</f>
        <v>0</v>
      </c>
      <c r="CY48" s="3">
        <f t="array" ref="CY48">SUMPRODUCT($J48:$U48,TRANSPOSE(CY$3:CY$14))</f>
        <v>0</v>
      </c>
      <c r="CZ48" s="3">
        <f t="array" ref="CZ48">SUMPRODUCT($J48:$U48,TRANSPOSE(CZ$3:CZ$14))</f>
        <v>0</v>
      </c>
      <c r="DA48" s="3">
        <f t="array" ref="DA48">SUMPRODUCT($J48:$U48,TRANSPOSE(DA$3:DA$14))</f>
        <v>0</v>
      </c>
      <c r="DB48" s="3">
        <f t="array" ref="DB48">SUMPRODUCT($J48:$U48,TRANSPOSE(DB$3:DB$14))</f>
        <v>0</v>
      </c>
      <c r="DC48" s="3">
        <f t="array" ref="DC48">SUMPRODUCT($J48:$U48,TRANSPOSE(DC$3:DC$14))</f>
        <v>0</v>
      </c>
      <c r="DD48" s="3">
        <f t="array" ref="DD48">SUMPRODUCT($J48:$U48,TRANSPOSE(DD$3:DD$14))</f>
        <v>0</v>
      </c>
      <c r="DE48" s="3">
        <f t="array" ref="DE48">SUMPRODUCT($J48:$U48,TRANSPOSE(DE$3:DE$14))</f>
        <v>0</v>
      </c>
    </row>
    <row r="49" spans="1:109" ht="13.5" thickBot="1" x14ac:dyDescent="0.25">
      <c r="A49" s="3">
        <v>72</v>
      </c>
      <c r="B49" s="9" t="s">
        <v>435</v>
      </c>
      <c r="C49" s="3" t="s">
        <v>13</v>
      </c>
      <c r="D49" s="3">
        <v>418022947</v>
      </c>
      <c r="F49" s="3" t="s">
        <v>436</v>
      </c>
      <c r="G49" s="3" t="s">
        <v>14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f t="shared" si="39"/>
        <v>1</v>
      </c>
      <c r="W49" s="3">
        <f t="shared" si="38"/>
        <v>130</v>
      </c>
      <c r="X49" s="8" t="s">
        <v>363</v>
      </c>
      <c r="Y49" s="3">
        <v>722.22</v>
      </c>
      <c r="Z49" s="3" t="s">
        <v>60</v>
      </c>
      <c r="AA49" s="3" t="s">
        <v>61</v>
      </c>
      <c r="AB49" s="3" t="s">
        <v>62</v>
      </c>
      <c r="AC49" s="3" t="s">
        <v>63</v>
      </c>
      <c r="BJ49" s="3">
        <f>SUM($AE49,$AF49:AH49)-SUM($CH49:CK49)</f>
        <v>0</v>
      </c>
      <c r="BK49" s="3">
        <f>SUM($AE49,$AF49:AI49)-SUM($CH49:CL49)</f>
        <v>0</v>
      </c>
      <c r="BL49" s="3">
        <f>SUM($AE49,$AF49:AJ49)-SUM($CH49:CM49)</f>
        <v>-10</v>
      </c>
      <c r="BM49" s="3">
        <f>SUM($AE49,$AF49:AK49)-SUM($CH49:CN49)</f>
        <v>-25</v>
      </c>
      <c r="BN49" s="3">
        <f>SUM($AE49,$AF49:AL49)-SUM($CH49:CO49)</f>
        <v>-40</v>
      </c>
      <c r="BO49" s="3">
        <f>SUM($AE49,$AF49:AM49)-SUM($CH49:CP49)</f>
        <v>-60</v>
      </c>
      <c r="BP49" s="3">
        <f>SUM($AE49,$AF49:AN49)-SUM($CH49:CQ49)</f>
        <v>-80</v>
      </c>
      <c r="BQ49" s="3">
        <f>SUM($AE49,$AF49:AO49)-SUM($CH49:CR49)</f>
        <v>-100</v>
      </c>
      <c r="BR49" s="3">
        <f>SUM($AE49,$AF49:AP49)-SUM($CH49:CS49)</f>
        <v>-120</v>
      </c>
      <c r="BS49" s="3">
        <f>SUM($AE49,$AF49:AQ49)-SUM($CH49:CT49)</f>
        <v>-130</v>
      </c>
      <c r="BT49" s="3">
        <f>SUM($AE49,$AF49:AR49)-SUM($CH49:CU49)</f>
        <v>-130</v>
      </c>
      <c r="BU49" s="3">
        <f>SUM($AE49,$AF49:AS49)-SUM($CH49:CV49)</f>
        <v>-130</v>
      </c>
      <c r="BV49" s="3">
        <f>SUM($AE49,$AF49:AT49)-SUM($CH49:CW49)</f>
        <v>-130</v>
      </c>
      <c r="BW49" s="3">
        <f>SUM($AE49,$AF49:AU49)-SUM($CH49:CX49)</f>
        <v>-130</v>
      </c>
      <c r="BX49" s="3">
        <f>SUM($AE49,$AF49:AV49)-SUM($CH49:CY49)</f>
        <v>-130</v>
      </c>
      <c r="BY49" s="3">
        <f>SUM($AE49,$AF49:AW49)-SUM($CH49:CZ49)</f>
        <v>-130</v>
      </c>
      <c r="BZ49" s="3">
        <f>SUM($AE49,$AF49:AX49)-SUM($CH49:DA49)</f>
        <v>-130</v>
      </c>
      <c r="CA49" s="3">
        <f>SUM($AE49,$AF49:AY49)-SUM($CH49:DB49)</f>
        <v>-130</v>
      </c>
      <c r="CB49" s="3">
        <f>SUM($AE49,$AF49:AZ49)-SUM($CH49:DC49)</f>
        <v>-130</v>
      </c>
      <c r="CC49" s="3">
        <f>SUM($AE49,$AF49:BA49)-SUM($CH49:DD49)</f>
        <v>-130</v>
      </c>
      <c r="CI49" s="3">
        <f t="array" ref="CI49">SUMPRODUCT($J49:$U49,TRANSPOSE(CI$3:CI$14))</f>
        <v>0</v>
      </c>
      <c r="CJ49" s="3">
        <f t="array" ref="CJ49">SUMPRODUCT($J49:$U49,TRANSPOSE(CJ$3:CJ$14))</f>
        <v>0</v>
      </c>
      <c r="CK49" s="3">
        <f t="array" ref="CK49">SUMPRODUCT($J49:$U49,TRANSPOSE(CK$3:CK$14))</f>
        <v>0</v>
      </c>
      <c r="CL49" s="3">
        <f t="array" ref="CL49">SUMPRODUCT($J49:$U49,TRANSPOSE(CL$3:CL$14))</f>
        <v>0</v>
      </c>
      <c r="CM49" s="3">
        <f t="array" ref="CM49">SUMPRODUCT($J49:$U49,TRANSPOSE(CM$3:CM$14))</f>
        <v>10</v>
      </c>
      <c r="CN49" s="3">
        <f t="array" ref="CN49">SUMPRODUCT($J49:$U49,TRANSPOSE(CN$3:CN$14))</f>
        <v>15</v>
      </c>
      <c r="CO49" s="3">
        <f t="array" ref="CO49">SUMPRODUCT($J49:$U49,TRANSPOSE(CO$3:CO$14))</f>
        <v>15</v>
      </c>
      <c r="CP49" s="3">
        <f t="array" ref="CP49">SUMPRODUCT($J49:$U49,TRANSPOSE(CP$3:CP$14))</f>
        <v>20</v>
      </c>
      <c r="CQ49" s="3">
        <f t="array" ref="CQ49">SUMPRODUCT($J49:$U49,TRANSPOSE(CQ$3:CQ$14))</f>
        <v>20</v>
      </c>
      <c r="CR49" s="3">
        <f t="array" ref="CR49">SUMPRODUCT($J49:$U49,TRANSPOSE(CR$3:CR$14))</f>
        <v>20</v>
      </c>
      <c r="CS49" s="3">
        <f t="array" ref="CS49">SUMPRODUCT($J49:$U49,TRANSPOSE(CS$3:CS$14))</f>
        <v>20</v>
      </c>
      <c r="CT49" s="3">
        <f t="array" ref="CT49">SUMPRODUCT($J49:$U49,TRANSPOSE(CT$3:CT$14))</f>
        <v>10</v>
      </c>
      <c r="CU49" s="3">
        <f t="array" ref="CU49">SUMPRODUCT($J49:$U49,TRANSPOSE(CU$3:CU$14))</f>
        <v>0</v>
      </c>
      <c r="CV49" s="3">
        <f t="array" ref="CV49">SUMPRODUCT($J49:$U49,TRANSPOSE(CV$3:CV$14))</f>
        <v>0</v>
      </c>
      <c r="CW49" s="3">
        <f t="array" ref="CW49">SUMPRODUCT($J49:$U49,TRANSPOSE(CW$3:CW$14))</f>
        <v>0</v>
      </c>
      <c r="CX49" s="3">
        <f t="array" ref="CX49">SUMPRODUCT($J49:$U49,TRANSPOSE(CX$3:CX$14))</f>
        <v>0</v>
      </c>
      <c r="CY49" s="3">
        <f t="array" ref="CY49">SUMPRODUCT($J49:$U49,TRANSPOSE(CY$3:CY$14))</f>
        <v>0</v>
      </c>
      <c r="CZ49" s="3">
        <f t="array" ref="CZ49">SUMPRODUCT($J49:$U49,TRANSPOSE(CZ$3:CZ$14))</f>
        <v>0</v>
      </c>
      <c r="DA49" s="3">
        <f t="array" ref="DA49">SUMPRODUCT($J49:$U49,TRANSPOSE(DA$3:DA$14))</f>
        <v>0</v>
      </c>
      <c r="DB49" s="3">
        <f t="array" ref="DB49">SUMPRODUCT($J49:$U49,TRANSPOSE(DB$3:DB$14))</f>
        <v>0</v>
      </c>
      <c r="DC49" s="3">
        <f t="array" ref="DC49">SUMPRODUCT($J49:$U49,TRANSPOSE(DC$3:DC$14))</f>
        <v>0</v>
      </c>
      <c r="DD49" s="3">
        <f t="array" ref="DD49">SUMPRODUCT($J49:$U49,TRANSPOSE(DD$3:DD$14))</f>
        <v>0</v>
      </c>
      <c r="DE49" s="3">
        <f t="array" ref="DE49">SUMPRODUCT($J49:$U49,TRANSPOSE(DE$3:DE$14))</f>
        <v>0</v>
      </c>
    </row>
    <row r="50" spans="1:109" ht="13.5" thickBot="1" x14ac:dyDescent="0.25">
      <c r="A50" s="3">
        <v>73</v>
      </c>
      <c r="B50" s="9" t="s">
        <v>437</v>
      </c>
      <c r="C50" s="3" t="s">
        <v>48</v>
      </c>
      <c r="D50" s="3">
        <v>418022951</v>
      </c>
      <c r="F50" s="3" t="s">
        <v>438</v>
      </c>
      <c r="G50" s="3" t="s">
        <v>14</v>
      </c>
      <c r="H50" s="3">
        <v>1</v>
      </c>
      <c r="I50" s="3">
        <v>1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f t="shared" si="39"/>
        <v>1</v>
      </c>
      <c r="W50" s="3">
        <f t="shared" si="38"/>
        <v>130</v>
      </c>
      <c r="X50" s="8" t="s">
        <v>363</v>
      </c>
      <c r="Y50" s="3">
        <v>950.45</v>
      </c>
      <c r="Z50" s="3" t="s">
        <v>60</v>
      </c>
      <c r="AA50" s="3" t="s">
        <v>61</v>
      </c>
      <c r="AB50" s="3" t="s">
        <v>62</v>
      </c>
      <c r="AC50" s="3" t="s">
        <v>63</v>
      </c>
      <c r="BJ50" s="3">
        <f>SUM($AE50,$AF50:AH50)-SUM($CH50:CK50)</f>
        <v>0</v>
      </c>
      <c r="BK50" s="3">
        <f>SUM($AE50,$AF50:AI50)-SUM($CH50:CL50)</f>
        <v>0</v>
      </c>
      <c r="BL50" s="3">
        <f>SUM($AE50,$AF50:AJ50)-SUM($CH50:CM50)</f>
        <v>-10</v>
      </c>
      <c r="BM50" s="3">
        <f>SUM($AE50,$AF50:AK50)-SUM($CH50:CN50)</f>
        <v>-25</v>
      </c>
      <c r="BN50" s="3">
        <f>SUM($AE50,$AF50:AL50)-SUM($CH50:CO50)</f>
        <v>-40</v>
      </c>
      <c r="BO50" s="3">
        <f>SUM($AE50,$AF50:AM50)-SUM($CH50:CP50)</f>
        <v>-60</v>
      </c>
      <c r="BP50" s="3">
        <f>SUM($AE50,$AF50:AN50)-SUM($CH50:CQ50)</f>
        <v>-80</v>
      </c>
      <c r="BQ50" s="3">
        <f>SUM($AE50,$AF50:AO50)-SUM($CH50:CR50)</f>
        <v>-100</v>
      </c>
      <c r="BR50" s="3">
        <f>SUM($AE50,$AF50:AP50)-SUM($CH50:CS50)</f>
        <v>-120</v>
      </c>
      <c r="BS50" s="3">
        <f>SUM($AE50,$AF50:AQ50)-SUM($CH50:CT50)</f>
        <v>-130</v>
      </c>
      <c r="BT50" s="3">
        <f>SUM($AE50,$AF50:AR50)-SUM($CH50:CU50)</f>
        <v>-130</v>
      </c>
      <c r="BU50" s="3">
        <f>SUM($AE50,$AF50:AS50)-SUM($CH50:CV50)</f>
        <v>-130</v>
      </c>
      <c r="BV50" s="3">
        <f>SUM($AE50,$AF50:AT50)-SUM($CH50:CW50)</f>
        <v>-130</v>
      </c>
      <c r="BW50" s="3">
        <f>SUM($AE50,$AF50:AU50)-SUM($CH50:CX50)</f>
        <v>-130</v>
      </c>
      <c r="BX50" s="3">
        <f>SUM($AE50,$AF50:AV50)-SUM($CH50:CY50)</f>
        <v>-130</v>
      </c>
      <c r="BY50" s="3">
        <f>SUM($AE50,$AF50:AW50)-SUM($CH50:CZ50)</f>
        <v>-130</v>
      </c>
      <c r="BZ50" s="3">
        <f>SUM($AE50,$AF50:AX50)-SUM($CH50:DA50)</f>
        <v>-130</v>
      </c>
      <c r="CA50" s="3">
        <f>SUM($AE50,$AF50:AY50)-SUM($CH50:DB50)</f>
        <v>-130</v>
      </c>
      <c r="CB50" s="3">
        <f>SUM($AE50,$AF50:AZ50)-SUM($CH50:DC50)</f>
        <v>-130</v>
      </c>
      <c r="CC50" s="3">
        <f>SUM($AE50,$AF50:BA50)-SUM($CH50:DD50)</f>
        <v>-130</v>
      </c>
      <c r="CI50" s="3">
        <f t="array" ref="CI50">SUMPRODUCT($J50:$U50,TRANSPOSE(CI$3:CI$14))</f>
        <v>0</v>
      </c>
      <c r="CJ50" s="3">
        <f t="array" ref="CJ50">SUMPRODUCT($J50:$U50,TRANSPOSE(CJ$3:CJ$14))</f>
        <v>0</v>
      </c>
      <c r="CK50" s="3">
        <f t="array" ref="CK50">SUMPRODUCT($J50:$U50,TRANSPOSE(CK$3:CK$14))</f>
        <v>0</v>
      </c>
      <c r="CL50" s="3">
        <f t="array" ref="CL50">SUMPRODUCT($J50:$U50,TRANSPOSE(CL$3:CL$14))</f>
        <v>0</v>
      </c>
      <c r="CM50" s="3">
        <f t="array" ref="CM50">SUMPRODUCT($J50:$U50,TRANSPOSE(CM$3:CM$14))</f>
        <v>10</v>
      </c>
      <c r="CN50" s="3">
        <f t="array" ref="CN50">SUMPRODUCT($J50:$U50,TRANSPOSE(CN$3:CN$14))</f>
        <v>15</v>
      </c>
      <c r="CO50" s="3">
        <f t="array" ref="CO50">SUMPRODUCT($J50:$U50,TRANSPOSE(CO$3:CO$14))</f>
        <v>15</v>
      </c>
      <c r="CP50" s="3">
        <f t="array" ref="CP50">SUMPRODUCT($J50:$U50,TRANSPOSE(CP$3:CP$14))</f>
        <v>20</v>
      </c>
      <c r="CQ50" s="3">
        <f t="array" ref="CQ50">SUMPRODUCT($J50:$U50,TRANSPOSE(CQ$3:CQ$14))</f>
        <v>20</v>
      </c>
      <c r="CR50" s="3">
        <f t="array" ref="CR50">SUMPRODUCT($J50:$U50,TRANSPOSE(CR$3:CR$14))</f>
        <v>20</v>
      </c>
      <c r="CS50" s="3">
        <f t="array" ref="CS50">SUMPRODUCT($J50:$U50,TRANSPOSE(CS$3:CS$14))</f>
        <v>20</v>
      </c>
      <c r="CT50" s="3">
        <f t="array" ref="CT50">SUMPRODUCT($J50:$U50,TRANSPOSE(CT$3:CT$14))</f>
        <v>10</v>
      </c>
      <c r="CU50" s="3">
        <f t="array" ref="CU50">SUMPRODUCT($J50:$U50,TRANSPOSE(CU$3:CU$14))</f>
        <v>0</v>
      </c>
      <c r="CV50" s="3">
        <f t="array" ref="CV50">SUMPRODUCT($J50:$U50,TRANSPOSE(CV$3:CV$14))</f>
        <v>0</v>
      </c>
      <c r="CW50" s="3">
        <f t="array" ref="CW50">SUMPRODUCT($J50:$U50,TRANSPOSE(CW$3:CW$14))</f>
        <v>0</v>
      </c>
      <c r="CX50" s="3">
        <f t="array" ref="CX50">SUMPRODUCT($J50:$U50,TRANSPOSE(CX$3:CX$14))</f>
        <v>0</v>
      </c>
      <c r="CY50" s="3">
        <f t="array" ref="CY50">SUMPRODUCT($J50:$U50,TRANSPOSE(CY$3:CY$14))</f>
        <v>0</v>
      </c>
      <c r="CZ50" s="3">
        <f t="array" ref="CZ50">SUMPRODUCT($J50:$U50,TRANSPOSE(CZ$3:CZ$14))</f>
        <v>0</v>
      </c>
      <c r="DA50" s="3">
        <f t="array" ref="DA50">SUMPRODUCT($J50:$U50,TRANSPOSE(DA$3:DA$14))</f>
        <v>0</v>
      </c>
      <c r="DB50" s="3">
        <f t="array" ref="DB50">SUMPRODUCT($J50:$U50,TRANSPOSE(DB$3:DB$14))</f>
        <v>0</v>
      </c>
      <c r="DC50" s="3">
        <f t="array" ref="DC50">SUMPRODUCT($J50:$U50,TRANSPOSE(DC$3:DC$14))</f>
        <v>0</v>
      </c>
      <c r="DD50" s="3">
        <f t="array" ref="DD50">SUMPRODUCT($J50:$U50,TRANSPOSE(DD$3:DD$14))</f>
        <v>0</v>
      </c>
      <c r="DE50" s="3">
        <f t="array" ref="DE50">SUMPRODUCT($J50:$U50,TRANSPOSE(DE$3:DE$14))</f>
        <v>0</v>
      </c>
    </row>
    <row r="51" spans="1:109" ht="13.5" thickBot="1" x14ac:dyDescent="0.25">
      <c r="A51" s="3">
        <v>74</v>
      </c>
      <c r="B51" s="9" t="s">
        <v>439</v>
      </c>
      <c r="C51" s="3" t="s">
        <v>13</v>
      </c>
      <c r="D51" s="3">
        <v>418022949</v>
      </c>
      <c r="F51" s="3" t="s">
        <v>440</v>
      </c>
      <c r="G51" s="3" t="s">
        <v>14</v>
      </c>
      <c r="H51" s="3">
        <v>1</v>
      </c>
      <c r="I51" s="3">
        <v>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f t="shared" si="39"/>
        <v>1</v>
      </c>
      <c r="W51" s="3">
        <f t="shared" si="38"/>
        <v>130</v>
      </c>
      <c r="X51" s="8" t="s">
        <v>363</v>
      </c>
      <c r="Y51" s="3">
        <v>242.01</v>
      </c>
      <c r="Z51" s="3" t="s">
        <v>60</v>
      </c>
      <c r="AA51" s="3" t="s">
        <v>61</v>
      </c>
      <c r="AB51" s="3" t="s">
        <v>62</v>
      </c>
      <c r="AC51" s="3" t="s">
        <v>63</v>
      </c>
      <c r="BJ51" s="3">
        <f>SUM($AE51,$AF51:AH51)-SUM($CH51:CK51)</f>
        <v>0</v>
      </c>
      <c r="BK51" s="3">
        <f>SUM($AE51,$AF51:AI51)-SUM($CH51:CL51)</f>
        <v>0</v>
      </c>
      <c r="BL51" s="3">
        <f>SUM($AE51,$AF51:AJ51)-SUM($CH51:CM51)</f>
        <v>-10</v>
      </c>
      <c r="BM51" s="3">
        <f>SUM($AE51,$AF51:AK51)-SUM($CH51:CN51)</f>
        <v>-25</v>
      </c>
      <c r="BN51" s="3">
        <f>SUM($AE51,$AF51:AL51)-SUM($CH51:CO51)</f>
        <v>-40</v>
      </c>
      <c r="BO51" s="3">
        <f>SUM($AE51,$AF51:AM51)-SUM($CH51:CP51)</f>
        <v>-60</v>
      </c>
      <c r="BP51" s="3">
        <f>SUM($AE51,$AF51:AN51)-SUM($CH51:CQ51)</f>
        <v>-80</v>
      </c>
      <c r="BQ51" s="3">
        <f>SUM($AE51,$AF51:AO51)-SUM($CH51:CR51)</f>
        <v>-100</v>
      </c>
      <c r="BR51" s="3">
        <f>SUM($AE51,$AF51:AP51)-SUM($CH51:CS51)</f>
        <v>-120</v>
      </c>
      <c r="BS51" s="3">
        <f>SUM($AE51,$AF51:AQ51)-SUM($CH51:CT51)</f>
        <v>-130</v>
      </c>
      <c r="BT51" s="3">
        <f>SUM($AE51,$AF51:AR51)-SUM($CH51:CU51)</f>
        <v>-130</v>
      </c>
      <c r="BU51" s="3">
        <f>SUM($AE51,$AF51:AS51)-SUM($CH51:CV51)</f>
        <v>-130</v>
      </c>
      <c r="BV51" s="3">
        <f>SUM($AE51,$AF51:AT51)-SUM($CH51:CW51)</f>
        <v>-130</v>
      </c>
      <c r="BW51" s="3">
        <f>SUM($AE51,$AF51:AU51)-SUM($CH51:CX51)</f>
        <v>-130</v>
      </c>
      <c r="BX51" s="3">
        <f>SUM($AE51,$AF51:AV51)-SUM($CH51:CY51)</f>
        <v>-130</v>
      </c>
      <c r="BY51" s="3">
        <f>SUM($AE51,$AF51:AW51)-SUM($CH51:CZ51)</f>
        <v>-130</v>
      </c>
      <c r="BZ51" s="3">
        <f>SUM($AE51,$AF51:AX51)-SUM($CH51:DA51)</f>
        <v>-130</v>
      </c>
      <c r="CA51" s="3">
        <f>SUM($AE51,$AF51:AY51)-SUM($CH51:DB51)</f>
        <v>-130</v>
      </c>
      <c r="CB51" s="3">
        <f>SUM($AE51,$AF51:AZ51)-SUM($CH51:DC51)</f>
        <v>-130</v>
      </c>
      <c r="CC51" s="3">
        <f>SUM($AE51,$AF51:BA51)-SUM($CH51:DD51)</f>
        <v>-130</v>
      </c>
      <c r="CI51" s="3">
        <f t="array" ref="CI51">SUMPRODUCT($J51:$U51,TRANSPOSE(CI$3:CI$14))</f>
        <v>0</v>
      </c>
      <c r="CJ51" s="3">
        <f t="array" ref="CJ51">SUMPRODUCT($J51:$U51,TRANSPOSE(CJ$3:CJ$14))</f>
        <v>0</v>
      </c>
      <c r="CK51" s="3">
        <f t="array" ref="CK51">SUMPRODUCT($J51:$U51,TRANSPOSE(CK$3:CK$14))</f>
        <v>0</v>
      </c>
      <c r="CL51" s="3">
        <f t="array" ref="CL51">SUMPRODUCT($J51:$U51,TRANSPOSE(CL$3:CL$14))</f>
        <v>0</v>
      </c>
      <c r="CM51" s="3">
        <f t="array" ref="CM51">SUMPRODUCT($J51:$U51,TRANSPOSE(CM$3:CM$14))</f>
        <v>10</v>
      </c>
      <c r="CN51" s="3">
        <f t="array" ref="CN51">SUMPRODUCT($J51:$U51,TRANSPOSE(CN$3:CN$14))</f>
        <v>15</v>
      </c>
      <c r="CO51" s="3">
        <f t="array" ref="CO51">SUMPRODUCT($J51:$U51,TRANSPOSE(CO$3:CO$14))</f>
        <v>15</v>
      </c>
      <c r="CP51" s="3">
        <f t="array" ref="CP51">SUMPRODUCT($J51:$U51,TRANSPOSE(CP$3:CP$14))</f>
        <v>20</v>
      </c>
      <c r="CQ51" s="3">
        <f t="array" ref="CQ51">SUMPRODUCT($J51:$U51,TRANSPOSE(CQ$3:CQ$14))</f>
        <v>20</v>
      </c>
      <c r="CR51" s="3">
        <f t="array" ref="CR51">SUMPRODUCT($J51:$U51,TRANSPOSE(CR$3:CR$14))</f>
        <v>20</v>
      </c>
      <c r="CS51" s="3">
        <f t="array" ref="CS51">SUMPRODUCT($J51:$U51,TRANSPOSE(CS$3:CS$14))</f>
        <v>20</v>
      </c>
      <c r="CT51" s="3">
        <f t="array" ref="CT51">SUMPRODUCT($J51:$U51,TRANSPOSE(CT$3:CT$14))</f>
        <v>10</v>
      </c>
      <c r="CU51" s="3">
        <f t="array" ref="CU51">SUMPRODUCT($J51:$U51,TRANSPOSE(CU$3:CU$14))</f>
        <v>0</v>
      </c>
      <c r="CV51" s="3">
        <f t="array" ref="CV51">SUMPRODUCT($J51:$U51,TRANSPOSE(CV$3:CV$14))</f>
        <v>0</v>
      </c>
      <c r="CW51" s="3">
        <f t="array" ref="CW51">SUMPRODUCT($J51:$U51,TRANSPOSE(CW$3:CW$14))</f>
        <v>0</v>
      </c>
      <c r="CX51" s="3">
        <f t="array" ref="CX51">SUMPRODUCT($J51:$U51,TRANSPOSE(CX$3:CX$14))</f>
        <v>0</v>
      </c>
      <c r="CY51" s="3">
        <f t="array" ref="CY51">SUMPRODUCT($J51:$U51,TRANSPOSE(CY$3:CY$14))</f>
        <v>0</v>
      </c>
      <c r="CZ51" s="3">
        <f t="array" ref="CZ51">SUMPRODUCT($J51:$U51,TRANSPOSE(CZ$3:CZ$14))</f>
        <v>0</v>
      </c>
      <c r="DA51" s="3">
        <f t="array" ref="DA51">SUMPRODUCT($J51:$U51,TRANSPOSE(DA$3:DA$14))</f>
        <v>0</v>
      </c>
      <c r="DB51" s="3">
        <f t="array" ref="DB51">SUMPRODUCT($J51:$U51,TRANSPOSE(DB$3:DB$14))</f>
        <v>0</v>
      </c>
      <c r="DC51" s="3">
        <f t="array" ref="DC51">SUMPRODUCT($J51:$U51,TRANSPOSE(DC$3:DC$14))</f>
        <v>0</v>
      </c>
      <c r="DD51" s="3">
        <f t="array" ref="DD51">SUMPRODUCT($J51:$U51,TRANSPOSE(DD$3:DD$14))</f>
        <v>0</v>
      </c>
      <c r="DE51" s="3">
        <f t="array" ref="DE51">SUMPRODUCT($J51:$U51,TRANSPOSE(DE$3:DE$14))</f>
        <v>0</v>
      </c>
    </row>
    <row r="52" spans="1:109" ht="13.5" thickBot="1" x14ac:dyDescent="0.25">
      <c r="A52" s="3">
        <v>75</v>
      </c>
      <c r="B52" s="9" t="s">
        <v>441</v>
      </c>
      <c r="C52" s="3" t="s">
        <v>13</v>
      </c>
      <c r="D52" s="3">
        <v>417943272</v>
      </c>
      <c r="F52" s="3" t="s">
        <v>442</v>
      </c>
      <c r="G52" s="3" t="s">
        <v>14</v>
      </c>
      <c r="H52" s="3">
        <v>1</v>
      </c>
      <c r="I52" s="3">
        <v>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f t="shared" si="39"/>
        <v>1</v>
      </c>
      <c r="W52" s="3">
        <f t="shared" si="38"/>
        <v>130</v>
      </c>
      <c r="X52" s="8" t="s">
        <v>363</v>
      </c>
      <c r="Y52" s="3">
        <v>21</v>
      </c>
      <c r="Z52" s="3" t="s">
        <v>55</v>
      </c>
      <c r="AA52" s="3" t="s">
        <v>56</v>
      </c>
      <c r="AB52" s="3">
        <v>91.973118825300006</v>
      </c>
      <c r="AC52" s="3" t="s">
        <v>57</v>
      </c>
      <c r="BJ52" s="3">
        <f>SUM($AE52,$AF52:AH52)-SUM($CH52:CK52)</f>
        <v>0</v>
      </c>
      <c r="BK52" s="3">
        <f>SUM($AE52,$AF52:AI52)-SUM($CH52:CL52)</f>
        <v>0</v>
      </c>
      <c r="BL52" s="3">
        <f>SUM($AE52,$AF52:AJ52)-SUM($CH52:CM52)</f>
        <v>-10</v>
      </c>
      <c r="BM52" s="3">
        <f>SUM($AE52,$AF52:AK52)-SUM($CH52:CN52)</f>
        <v>-25</v>
      </c>
      <c r="BN52" s="3">
        <f>SUM($AE52,$AF52:AL52)-SUM($CH52:CO52)</f>
        <v>-40</v>
      </c>
      <c r="BO52" s="3">
        <f>SUM($AE52,$AF52:AM52)-SUM($CH52:CP52)</f>
        <v>-60</v>
      </c>
      <c r="BP52" s="3">
        <f>SUM($AE52,$AF52:AN52)-SUM($CH52:CQ52)</f>
        <v>-80</v>
      </c>
      <c r="BQ52" s="3">
        <f>SUM($AE52,$AF52:AO52)-SUM($CH52:CR52)</f>
        <v>-100</v>
      </c>
      <c r="BR52" s="3">
        <f>SUM($AE52,$AF52:AP52)-SUM($CH52:CS52)</f>
        <v>-120</v>
      </c>
      <c r="BS52" s="3">
        <f>SUM($AE52,$AF52:AQ52)-SUM($CH52:CT52)</f>
        <v>-130</v>
      </c>
      <c r="BT52" s="3">
        <f>SUM($AE52,$AF52:AR52)-SUM($CH52:CU52)</f>
        <v>-130</v>
      </c>
      <c r="BU52" s="3">
        <f>SUM($AE52,$AF52:AS52)-SUM($CH52:CV52)</f>
        <v>-130</v>
      </c>
      <c r="BV52" s="3">
        <f>SUM($AE52,$AF52:AT52)-SUM($CH52:CW52)</f>
        <v>-130</v>
      </c>
      <c r="BW52" s="3">
        <f>SUM($AE52,$AF52:AU52)-SUM($CH52:CX52)</f>
        <v>-130</v>
      </c>
      <c r="BX52" s="3">
        <f>SUM($AE52,$AF52:AV52)-SUM($CH52:CY52)</f>
        <v>-130</v>
      </c>
      <c r="BY52" s="3">
        <f>SUM($AE52,$AF52:AW52)-SUM($CH52:CZ52)</f>
        <v>-130</v>
      </c>
      <c r="BZ52" s="3">
        <f>SUM($AE52,$AF52:AX52)-SUM($CH52:DA52)</f>
        <v>-130</v>
      </c>
      <c r="CA52" s="3">
        <f>SUM($AE52,$AF52:AY52)-SUM($CH52:DB52)</f>
        <v>-130</v>
      </c>
      <c r="CB52" s="3">
        <f>SUM($AE52,$AF52:AZ52)-SUM($CH52:DC52)</f>
        <v>-130</v>
      </c>
      <c r="CC52" s="3">
        <f>SUM($AE52,$AF52:BA52)-SUM($CH52:DD52)</f>
        <v>-130</v>
      </c>
      <c r="CI52" s="3">
        <f t="array" ref="CI52">SUMPRODUCT($J52:$U52,TRANSPOSE(CI$3:CI$14))</f>
        <v>0</v>
      </c>
      <c r="CJ52" s="3">
        <f t="array" ref="CJ52">SUMPRODUCT($J52:$U52,TRANSPOSE(CJ$3:CJ$14))</f>
        <v>0</v>
      </c>
      <c r="CK52" s="3">
        <f t="array" ref="CK52">SUMPRODUCT($J52:$U52,TRANSPOSE(CK$3:CK$14))</f>
        <v>0</v>
      </c>
      <c r="CL52" s="3">
        <f t="array" ref="CL52">SUMPRODUCT($J52:$U52,TRANSPOSE(CL$3:CL$14))</f>
        <v>0</v>
      </c>
      <c r="CM52" s="3">
        <f t="array" ref="CM52">SUMPRODUCT($J52:$U52,TRANSPOSE(CM$3:CM$14))</f>
        <v>10</v>
      </c>
      <c r="CN52" s="3">
        <f t="array" ref="CN52">SUMPRODUCT($J52:$U52,TRANSPOSE(CN$3:CN$14))</f>
        <v>15</v>
      </c>
      <c r="CO52" s="3">
        <f t="array" ref="CO52">SUMPRODUCT($J52:$U52,TRANSPOSE(CO$3:CO$14))</f>
        <v>15</v>
      </c>
      <c r="CP52" s="3">
        <f t="array" ref="CP52">SUMPRODUCT($J52:$U52,TRANSPOSE(CP$3:CP$14))</f>
        <v>20</v>
      </c>
      <c r="CQ52" s="3">
        <f t="array" ref="CQ52">SUMPRODUCT($J52:$U52,TRANSPOSE(CQ$3:CQ$14))</f>
        <v>20</v>
      </c>
      <c r="CR52" s="3">
        <f t="array" ref="CR52">SUMPRODUCT($J52:$U52,TRANSPOSE(CR$3:CR$14))</f>
        <v>20</v>
      </c>
      <c r="CS52" s="3">
        <f t="array" ref="CS52">SUMPRODUCT($J52:$U52,TRANSPOSE(CS$3:CS$14))</f>
        <v>20</v>
      </c>
      <c r="CT52" s="3">
        <f t="array" ref="CT52">SUMPRODUCT($J52:$U52,TRANSPOSE(CT$3:CT$14))</f>
        <v>10</v>
      </c>
      <c r="CU52" s="3">
        <f t="array" ref="CU52">SUMPRODUCT($J52:$U52,TRANSPOSE(CU$3:CU$14))</f>
        <v>0</v>
      </c>
      <c r="CV52" s="3">
        <f t="array" ref="CV52">SUMPRODUCT($J52:$U52,TRANSPOSE(CV$3:CV$14))</f>
        <v>0</v>
      </c>
      <c r="CW52" s="3">
        <f t="array" ref="CW52">SUMPRODUCT($J52:$U52,TRANSPOSE(CW$3:CW$14))</f>
        <v>0</v>
      </c>
      <c r="CX52" s="3">
        <f t="array" ref="CX52">SUMPRODUCT($J52:$U52,TRANSPOSE(CX$3:CX$14))</f>
        <v>0</v>
      </c>
      <c r="CY52" s="3">
        <f t="array" ref="CY52">SUMPRODUCT($J52:$U52,TRANSPOSE(CY$3:CY$14))</f>
        <v>0</v>
      </c>
      <c r="CZ52" s="3">
        <f t="array" ref="CZ52">SUMPRODUCT($J52:$U52,TRANSPOSE(CZ$3:CZ$14))</f>
        <v>0</v>
      </c>
      <c r="DA52" s="3">
        <f t="array" ref="DA52">SUMPRODUCT($J52:$U52,TRANSPOSE(DA$3:DA$14))</f>
        <v>0</v>
      </c>
      <c r="DB52" s="3">
        <f t="array" ref="DB52">SUMPRODUCT($J52:$U52,TRANSPOSE(DB$3:DB$14))</f>
        <v>0</v>
      </c>
      <c r="DC52" s="3">
        <f t="array" ref="DC52">SUMPRODUCT($J52:$U52,TRANSPOSE(DC$3:DC$14))</f>
        <v>0</v>
      </c>
      <c r="DD52" s="3">
        <f t="array" ref="DD52">SUMPRODUCT($J52:$U52,TRANSPOSE(DD$3:DD$14))</f>
        <v>0</v>
      </c>
      <c r="DE52" s="3">
        <f t="array" ref="DE52">SUMPRODUCT($J52:$U52,TRANSPOSE(DE$3:DE$14))</f>
        <v>0</v>
      </c>
    </row>
    <row r="53" spans="1:109" ht="13.5" thickBot="1" x14ac:dyDescent="0.25">
      <c r="A53" s="3">
        <v>76</v>
      </c>
      <c r="B53" s="9" t="s">
        <v>443</v>
      </c>
      <c r="C53" s="3" t="s">
        <v>95</v>
      </c>
      <c r="D53" s="3" t="s">
        <v>444</v>
      </c>
      <c r="E53" s="3" t="s">
        <v>445</v>
      </c>
      <c r="F53" s="3" t="s">
        <v>446</v>
      </c>
      <c r="G53" s="3" t="s">
        <v>14</v>
      </c>
      <c r="H53" s="3">
        <v>2</v>
      </c>
      <c r="I53" s="3">
        <v>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f t="shared" si="39"/>
        <v>1</v>
      </c>
      <c r="W53" s="3">
        <f t="shared" si="38"/>
        <v>130</v>
      </c>
      <c r="X53" s="6" t="s">
        <v>447</v>
      </c>
      <c r="Y53" s="3">
        <v>11.9656</v>
      </c>
      <c r="Z53" s="3" t="s">
        <v>271</v>
      </c>
      <c r="AA53" s="3" t="s">
        <v>448</v>
      </c>
      <c r="AB53" s="21">
        <v>972548849141</v>
      </c>
      <c r="AC53" s="22" t="s">
        <v>36</v>
      </c>
      <c r="AD53" s="3" t="s">
        <v>449</v>
      </c>
      <c r="BJ53" s="3">
        <f>SUM($AE53,$AF53:AH53)-SUM($CH53:CK53)</f>
        <v>0</v>
      </c>
      <c r="BK53" s="3">
        <f>SUM($AE53,$AF53:AI53)-SUM($CH53:CL53)</f>
        <v>0</v>
      </c>
      <c r="BL53" s="3">
        <f>SUM($AE53,$AF53:AJ53)-SUM($CH53:CM53)</f>
        <v>-10</v>
      </c>
      <c r="BM53" s="3">
        <f>SUM($AE53,$AF53:AK53)-SUM($CH53:CN53)</f>
        <v>-25</v>
      </c>
      <c r="BN53" s="3">
        <f>SUM($AE53,$AF53:AL53)-SUM($CH53:CO53)</f>
        <v>-40</v>
      </c>
      <c r="BO53" s="3">
        <f>SUM($AE53,$AF53:AM53)-SUM($CH53:CP53)</f>
        <v>-60</v>
      </c>
      <c r="BP53" s="3">
        <f>SUM($AE53,$AF53:AN53)-SUM($CH53:CQ53)</f>
        <v>-80</v>
      </c>
      <c r="BQ53" s="3">
        <f>SUM($AE53,$AF53:AO53)-SUM($CH53:CR53)</f>
        <v>-100</v>
      </c>
      <c r="BR53" s="3">
        <f>SUM($AE53,$AF53:AP53)-SUM($CH53:CS53)</f>
        <v>-120</v>
      </c>
      <c r="BS53" s="3">
        <f>SUM($AE53,$AF53:AQ53)-SUM($CH53:CT53)</f>
        <v>-130</v>
      </c>
      <c r="BT53" s="3">
        <f>SUM($AE53,$AF53:AR53)-SUM($CH53:CU53)</f>
        <v>-130</v>
      </c>
      <c r="BU53" s="3">
        <f>SUM($AE53,$AF53:AS53)-SUM($CH53:CV53)</f>
        <v>-130</v>
      </c>
      <c r="BV53" s="3">
        <f>SUM($AE53,$AF53:AT53)-SUM($CH53:CW53)</f>
        <v>-130</v>
      </c>
      <c r="BW53" s="3">
        <f>SUM($AE53,$AF53:AU53)-SUM($CH53:CX53)</f>
        <v>-130</v>
      </c>
      <c r="BX53" s="3">
        <f>SUM($AE53,$AF53:AV53)-SUM($CH53:CY53)</f>
        <v>-130</v>
      </c>
      <c r="BY53" s="3">
        <f>SUM($AE53,$AF53:AW53)-SUM($CH53:CZ53)</f>
        <v>-130</v>
      </c>
      <c r="BZ53" s="3">
        <f>SUM($AE53,$AF53:AX53)-SUM($CH53:DA53)</f>
        <v>-130</v>
      </c>
      <c r="CA53" s="3">
        <f>SUM($AE53,$AF53:AY53)-SUM($CH53:DB53)</f>
        <v>-130</v>
      </c>
      <c r="CB53" s="3">
        <f>SUM($AE53,$AF53:AZ53)-SUM($CH53:DC53)</f>
        <v>-130</v>
      </c>
      <c r="CC53" s="3">
        <f>SUM($AE53,$AF53:BA53)-SUM($CH53:DD53)</f>
        <v>-130</v>
      </c>
      <c r="CI53" s="3">
        <f t="array" ref="CI53">SUMPRODUCT($J53:$U53,TRANSPOSE(CI$3:CI$14))</f>
        <v>0</v>
      </c>
      <c r="CJ53" s="3">
        <f t="array" ref="CJ53">SUMPRODUCT($J53:$U53,TRANSPOSE(CJ$3:CJ$14))</f>
        <v>0</v>
      </c>
      <c r="CK53" s="3">
        <f t="array" ref="CK53">SUMPRODUCT($J53:$U53,TRANSPOSE(CK$3:CK$14))</f>
        <v>0</v>
      </c>
      <c r="CL53" s="3">
        <f t="array" ref="CL53">SUMPRODUCT($J53:$U53,TRANSPOSE(CL$3:CL$14))</f>
        <v>0</v>
      </c>
      <c r="CM53" s="3">
        <f t="array" ref="CM53">SUMPRODUCT($J53:$U53,TRANSPOSE(CM$3:CM$14))</f>
        <v>10</v>
      </c>
      <c r="CN53" s="3">
        <f t="array" ref="CN53">SUMPRODUCT($J53:$U53,TRANSPOSE(CN$3:CN$14))</f>
        <v>15</v>
      </c>
      <c r="CO53" s="3">
        <f t="array" ref="CO53">SUMPRODUCT($J53:$U53,TRANSPOSE(CO$3:CO$14))</f>
        <v>15</v>
      </c>
      <c r="CP53" s="3">
        <f t="array" ref="CP53">SUMPRODUCT($J53:$U53,TRANSPOSE(CP$3:CP$14))</f>
        <v>20</v>
      </c>
      <c r="CQ53" s="3">
        <f t="array" ref="CQ53">SUMPRODUCT($J53:$U53,TRANSPOSE(CQ$3:CQ$14))</f>
        <v>20</v>
      </c>
      <c r="CR53" s="3">
        <f t="array" ref="CR53">SUMPRODUCT($J53:$U53,TRANSPOSE(CR$3:CR$14))</f>
        <v>20</v>
      </c>
      <c r="CS53" s="3">
        <f t="array" ref="CS53">SUMPRODUCT($J53:$U53,TRANSPOSE(CS$3:CS$14))</f>
        <v>20</v>
      </c>
      <c r="CT53" s="3">
        <f t="array" ref="CT53">SUMPRODUCT($J53:$U53,TRANSPOSE(CT$3:CT$14))</f>
        <v>10</v>
      </c>
      <c r="CU53" s="3">
        <f t="array" ref="CU53">SUMPRODUCT($J53:$U53,TRANSPOSE(CU$3:CU$14))</f>
        <v>0</v>
      </c>
      <c r="CV53" s="3">
        <f t="array" ref="CV53">SUMPRODUCT($J53:$U53,TRANSPOSE(CV$3:CV$14))</f>
        <v>0</v>
      </c>
      <c r="CW53" s="3">
        <f t="array" ref="CW53">SUMPRODUCT($J53:$U53,TRANSPOSE(CW$3:CW$14))</f>
        <v>0</v>
      </c>
      <c r="CX53" s="3">
        <f t="array" ref="CX53">SUMPRODUCT($J53:$U53,TRANSPOSE(CX$3:CX$14))</f>
        <v>0</v>
      </c>
      <c r="CY53" s="3">
        <f t="array" ref="CY53">SUMPRODUCT($J53:$U53,TRANSPOSE(CY$3:CY$14))</f>
        <v>0</v>
      </c>
      <c r="CZ53" s="3">
        <f t="array" ref="CZ53">SUMPRODUCT($J53:$U53,TRANSPOSE(CZ$3:CZ$14))</f>
        <v>0</v>
      </c>
      <c r="DA53" s="3">
        <f t="array" ref="DA53">SUMPRODUCT($J53:$U53,TRANSPOSE(DA$3:DA$14))</f>
        <v>0</v>
      </c>
      <c r="DB53" s="3">
        <f t="array" ref="DB53">SUMPRODUCT($J53:$U53,TRANSPOSE(DB$3:DB$14))</f>
        <v>0</v>
      </c>
      <c r="DC53" s="3">
        <f t="array" ref="DC53">SUMPRODUCT($J53:$U53,TRANSPOSE(DC$3:DC$14))</f>
        <v>0</v>
      </c>
      <c r="DD53" s="3">
        <f t="array" ref="DD53">SUMPRODUCT($J53:$U53,TRANSPOSE(DD$3:DD$14))</f>
        <v>0</v>
      </c>
      <c r="DE53" s="3">
        <f t="array" ref="DE53">SUMPRODUCT($J53:$U53,TRANSPOSE(DE$3:DE$14))</f>
        <v>0</v>
      </c>
    </row>
    <row r="54" spans="1:109" ht="13.5" thickBot="1" x14ac:dyDescent="0.25">
      <c r="A54" s="3">
        <v>83</v>
      </c>
      <c r="B54" s="9" t="s">
        <v>450</v>
      </c>
      <c r="C54" s="3" t="s">
        <v>13</v>
      </c>
      <c r="D54" s="3">
        <v>401451712</v>
      </c>
      <c r="F54" s="3" t="s">
        <v>451</v>
      </c>
      <c r="G54" s="3" t="s">
        <v>14</v>
      </c>
      <c r="H54" s="3">
        <v>1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f t="shared" si="39"/>
        <v>1</v>
      </c>
      <c r="W54" s="3">
        <f t="shared" si="38"/>
        <v>130</v>
      </c>
      <c r="X54" s="8" t="s">
        <v>363</v>
      </c>
      <c r="Y54" s="3">
        <v>24</v>
      </c>
      <c r="Z54" s="3" t="s">
        <v>55</v>
      </c>
      <c r="AA54" s="3" t="s">
        <v>56</v>
      </c>
      <c r="AB54" s="3">
        <v>91.973118825300006</v>
      </c>
      <c r="AC54" s="3" t="s">
        <v>57</v>
      </c>
      <c r="BJ54" s="3">
        <f>SUM($AE54,$AF54:AH54)-SUM($CH54:CK54)</f>
        <v>0</v>
      </c>
      <c r="BK54" s="3">
        <f>SUM($AE54,$AF54:AI54)-SUM($CH54:CL54)</f>
        <v>-10</v>
      </c>
      <c r="BL54" s="3">
        <f>SUM($AE54,$AF54:AJ54)-SUM($CH54:CM54)</f>
        <v>-25</v>
      </c>
      <c r="BM54" s="3">
        <f>SUM($AE54,$AF54:AK54)-SUM($CH54:CN54)</f>
        <v>-40</v>
      </c>
      <c r="BN54" s="3">
        <f>SUM($AE54,$AF54:AL54)-SUM($CH54:CO54)</f>
        <v>-60</v>
      </c>
      <c r="BO54" s="3">
        <f>SUM($AE54,$AF54:AM54)-SUM($CH54:CP54)</f>
        <v>-80</v>
      </c>
      <c r="BP54" s="3">
        <f>SUM($AE54,$AF54:AN54)-SUM($CH54:CQ54)</f>
        <v>-100</v>
      </c>
      <c r="BQ54" s="3">
        <f>SUM($AE54,$AF54:AO54)-SUM($CH54:CR54)</f>
        <v>-120</v>
      </c>
      <c r="BR54" s="3">
        <f>SUM($AE54,$AF54:AP54)-SUM($CH54:CS54)</f>
        <v>-130</v>
      </c>
      <c r="BS54" s="3">
        <f>SUM($AE54,$AF54:AQ54)-SUM($CH54:CT54)</f>
        <v>-130</v>
      </c>
      <c r="BT54" s="3">
        <f>SUM($AE54,$AF54:AR54)-SUM($CH54:CU54)</f>
        <v>-130</v>
      </c>
      <c r="BU54" s="3">
        <f>SUM($AE54,$AF54:AS54)-SUM($CH54:CV54)</f>
        <v>-130</v>
      </c>
      <c r="BV54" s="3">
        <f>SUM($AE54,$AF54:AT54)-SUM($CH54:CW54)</f>
        <v>-130</v>
      </c>
      <c r="BW54" s="3">
        <f>SUM($AE54,$AF54:AU54)-SUM($CH54:CX54)</f>
        <v>-130</v>
      </c>
      <c r="BX54" s="3">
        <f>SUM($AE54,$AF54:AV54)-SUM($CH54:CY54)</f>
        <v>-130</v>
      </c>
      <c r="BY54" s="3">
        <f>SUM($AE54,$AF54:AW54)-SUM($CH54:CZ54)</f>
        <v>-130</v>
      </c>
      <c r="BZ54" s="3">
        <f>SUM($AE54,$AF54:AX54)-SUM($CH54:DA54)</f>
        <v>-130</v>
      </c>
      <c r="CA54" s="3">
        <f>SUM($AE54,$AF54:AY54)-SUM($CH54:DB54)</f>
        <v>-130</v>
      </c>
      <c r="CB54" s="3">
        <f>SUM($AE54,$AF54:AZ54)-SUM($CH54:DC54)</f>
        <v>-130</v>
      </c>
      <c r="CC54" s="3">
        <f>SUM($AE54,$AF54:BA54)-SUM($CH54:DD54)</f>
        <v>-130</v>
      </c>
      <c r="CI54" s="3">
        <f t="array" ref="CI54">SUMPRODUCT($J54:$U54,TRANSPOSE(CI$3:CI$14))</f>
        <v>0</v>
      </c>
      <c r="CJ54" s="3">
        <f t="array" ref="CJ54">SUMPRODUCT($J54:$U54,TRANSPOSE(CJ$3:CJ$14))</f>
        <v>0</v>
      </c>
      <c r="CK54" s="3">
        <f t="array" ref="CK54">SUMPRODUCT($J54:$U54,TRANSPOSE(CK$3:CK$14))</f>
        <v>0</v>
      </c>
      <c r="CL54" s="3">
        <f t="array" ref="CL54">SUMPRODUCT($J54:$U54,TRANSPOSE(CL$3:CL$14))</f>
        <v>10</v>
      </c>
      <c r="CM54" s="3">
        <f t="array" ref="CM54">SUMPRODUCT($J54:$U54,TRANSPOSE(CM$3:CM$14))</f>
        <v>15</v>
      </c>
      <c r="CN54" s="3">
        <f t="array" ref="CN54">SUMPRODUCT($J54:$U54,TRANSPOSE(CN$3:CN$14))</f>
        <v>15</v>
      </c>
      <c r="CO54" s="3">
        <f t="array" ref="CO54">SUMPRODUCT($J54:$U54,TRANSPOSE(CO$3:CO$14))</f>
        <v>20</v>
      </c>
      <c r="CP54" s="3">
        <f t="array" ref="CP54">SUMPRODUCT($J54:$U54,TRANSPOSE(CP$3:CP$14))</f>
        <v>20</v>
      </c>
      <c r="CQ54" s="3">
        <f t="array" ref="CQ54">SUMPRODUCT($J54:$U54,TRANSPOSE(CQ$3:CQ$14))</f>
        <v>20</v>
      </c>
      <c r="CR54" s="3">
        <f t="array" ref="CR54">SUMPRODUCT($J54:$U54,TRANSPOSE(CR$3:CR$14))</f>
        <v>20</v>
      </c>
      <c r="CS54" s="3">
        <f t="array" ref="CS54">SUMPRODUCT($J54:$U54,TRANSPOSE(CS$3:CS$14))</f>
        <v>10</v>
      </c>
      <c r="CT54" s="3">
        <f t="array" ref="CT54">SUMPRODUCT($J54:$U54,TRANSPOSE(CT$3:CT$14))</f>
        <v>0</v>
      </c>
      <c r="CU54" s="3">
        <f t="array" ref="CU54">SUMPRODUCT($J54:$U54,TRANSPOSE(CU$3:CU$14))</f>
        <v>0</v>
      </c>
      <c r="CV54" s="3">
        <f t="array" ref="CV54">SUMPRODUCT($J54:$U54,TRANSPOSE(CV$3:CV$14))</f>
        <v>0</v>
      </c>
      <c r="CW54" s="3">
        <f t="array" ref="CW54">SUMPRODUCT($J54:$U54,TRANSPOSE(CW$3:CW$14))</f>
        <v>0</v>
      </c>
      <c r="CX54" s="3">
        <f t="array" ref="CX54">SUMPRODUCT($J54:$U54,TRANSPOSE(CX$3:CX$14))</f>
        <v>0</v>
      </c>
      <c r="CY54" s="3">
        <f t="array" ref="CY54">SUMPRODUCT($J54:$U54,TRANSPOSE(CY$3:CY$14))</f>
        <v>0</v>
      </c>
      <c r="CZ54" s="3">
        <f t="array" ref="CZ54">SUMPRODUCT($J54:$U54,TRANSPOSE(CZ$3:CZ$14))</f>
        <v>0</v>
      </c>
      <c r="DA54" s="3">
        <f t="array" ref="DA54">SUMPRODUCT($J54:$U54,TRANSPOSE(DA$3:DA$14))</f>
        <v>0</v>
      </c>
      <c r="DB54" s="3">
        <f t="array" ref="DB54">SUMPRODUCT($J54:$U54,TRANSPOSE(DB$3:DB$14))</f>
        <v>0</v>
      </c>
      <c r="DC54" s="3">
        <f t="array" ref="DC54">SUMPRODUCT($J54:$U54,TRANSPOSE(DC$3:DC$14))</f>
        <v>0</v>
      </c>
      <c r="DD54" s="3">
        <f t="array" ref="DD54">SUMPRODUCT($J54:$U54,TRANSPOSE(DD$3:DD$14))</f>
        <v>0</v>
      </c>
      <c r="DE54" s="3">
        <f t="array" ref="DE54">SUMPRODUCT($J54:$U54,TRANSPOSE(DE$3:DE$14))</f>
        <v>0</v>
      </c>
    </row>
    <row r="55" spans="1:109" ht="13.5" thickBot="1" x14ac:dyDescent="0.25">
      <c r="A55" s="3">
        <v>84</v>
      </c>
      <c r="B55" s="9" t="s">
        <v>452</v>
      </c>
      <c r="C55" s="3" t="s">
        <v>48</v>
      </c>
      <c r="D55" s="3">
        <v>401367418</v>
      </c>
      <c r="F55" s="3" t="s">
        <v>453</v>
      </c>
      <c r="G55" s="3" t="s">
        <v>14</v>
      </c>
      <c r="H55" s="3">
        <v>1</v>
      </c>
      <c r="I55" s="3">
        <v>4</v>
      </c>
      <c r="J55" s="3">
        <v>0</v>
      </c>
      <c r="K55" s="3">
        <v>2</v>
      </c>
      <c r="L55" s="3">
        <v>0</v>
      </c>
      <c r="M55" s="3">
        <v>0</v>
      </c>
      <c r="N55" s="3">
        <v>2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f t="shared" si="39"/>
        <v>4</v>
      </c>
      <c r="W55" s="3">
        <f t="shared" si="38"/>
        <v>520</v>
      </c>
      <c r="X55" s="8" t="s">
        <v>363</v>
      </c>
      <c r="Y55" s="3">
        <v>21</v>
      </c>
      <c r="Z55" s="3" t="s">
        <v>55</v>
      </c>
      <c r="AA55" s="3" t="s">
        <v>56</v>
      </c>
      <c r="AB55" s="3">
        <v>91.973118825300006</v>
      </c>
      <c r="AC55" s="3" t="s">
        <v>57</v>
      </c>
      <c r="BJ55" s="3">
        <f>SUM($AE55,$AF55:AH55)-SUM($CH55:CK55)</f>
        <v>0</v>
      </c>
      <c r="BK55" s="3">
        <f>SUM($AE55,$AF55:AI55)-SUM($CH55:CL55)</f>
        <v>-40</v>
      </c>
      <c r="BL55" s="3">
        <f>SUM($AE55,$AF55:AJ55)-SUM($CH55:CM55)</f>
        <v>-100</v>
      </c>
      <c r="BM55" s="3">
        <f>SUM($AE55,$AF55:AK55)-SUM($CH55:CN55)</f>
        <v>-160</v>
      </c>
      <c r="BN55" s="3">
        <f>SUM($AE55,$AF55:AL55)-SUM($CH55:CO55)</f>
        <v>-240</v>
      </c>
      <c r="BO55" s="3">
        <f>SUM($AE55,$AF55:AM55)-SUM($CH55:CP55)</f>
        <v>-320</v>
      </c>
      <c r="BP55" s="3">
        <f>SUM($AE55,$AF55:AN55)-SUM($CH55:CQ55)</f>
        <v>-400</v>
      </c>
      <c r="BQ55" s="3">
        <f>SUM($AE55,$AF55:AO55)-SUM($CH55:CR55)</f>
        <v>-480</v>
      </c>
      <c r="BR55" s="3">
        <f>SUM($AE55,$AF55:AP55)-SUM($CH55:CS55)</f>
        <v>-520</v>
      </c>
      <c r="BS55" s="3">
        <f>SUM($AE55,$AF55:AQ55)-SUM($CH55:CT55)</f>
        <v>-520</v>
      </c>
      <c r="BT55" s="3">
        <f>SUM($AE55,$AF55:AR55)-SUM($CH55:CU55)</f>
        <v>-520</v>
      </c>
      <c r="BU55" s="3">
        <f>SUM($AE55,$AF55:AS55)-SUM($CH55:CV55)</f>
        <v>-520</v>
      </c>
      <c r="BV55" s="3">
        <f>SUM($AE55,$AF55:AT55)-SUM($CH55:CW55)</f>
        <v>-520</v>
      </c>
      <c r="BW55" s="3">
        <f>SUM($AE55,$AF55:AU55)-SUM($CH55:CX55)</f>
        <v>-520</v>
      </c>
      <c r="BX55" s="3">
        <f>SUM($AE55,$AF55:AV55)-SUM($CH55:CY55)</f>
        <v>-520</v>
      </c>
      <c r="BY55" s="3">
        <f>SUM($AE55,$AF55:AW55)-SUM($CH55:CZ55)</f>
        <v>-520</v>
      </c>
      <c r="BZ55" s="3">
        <f>SUM($AE55,$AF55:AX55)-SUM($CH55:DA55)</f>
        <v>-520</v>
      </c>
      <c r="CA55" s="3">
        <f>SUM($AE55,$AF55:AY55)-SUM($CH55:DB55)</f>
        <v>-520</v>
      </c>
      <c r="CB55" s="3">
        <f>SUM($AE55,$AF55:AZ55)-SUM($CH55:DC55)</f>
        <v>-520</v>
      </c>
      <c r="CC55" s="3">
        <f>SUM($AE55,$AF55:BA55)-SUM($CH55:DD55)</f>
        <v>-520</v>
      </c>
      <c r="CI55" s="3">
        <f t="array" ref="CI55">SUMPRODUCT($J55:$U55,TRANSPOSE(CI$3:CI$14))</f>
        <v>0</v>
      </c>
      <c r="CJ55" s="3">
        <f t="array" ref="CJ55">SUMPRODUCT($J55:$U55,TRANSPOSE(CJ$3:CJ$14))</f>
        <v>0</v>
      </c>
      <c r="CK55" s="3">
        <f t="array" ref="CK55">SUMPRODUCT($J55:$U55,TRANSPOSE(CK$3:CK$14))</f>
        <v>0</v>
      </c>
      <c r="CL55" s="3">
        <f t="array" ref="CL55">SUMPRODUCT($J55:$U55,TRANSPOSE(CL$3:CL$14))</f>
        <v>40</v>
      </c>
      <c r="CM55" s="3">
        <f t="array" ref="CM55">SUMPRODUCT($J55:$U55,TRANSPOSE(CM$3:CM$14))</f>
        <v>60</v>
      </c>
      <c r="CN55" s="3">
        <f t="array" ref="CN55">SUMPRODUCT($J55:$U55,TRANSPOSE(CN$3:CN$14))</f>
        <v>60</v>
      </c>
      <c r="CO55" s="3">
        <f t="array" ref="CO55">SUMPRODUCT($J55:$U55,TRANSPOSE(CO$3:CO$14))</f>
        <v>80</v>
      </c>
      <c r="CP55" s="3">
        <f t="array" ref="CP55">SUMPRODUCT($J55:$U55,TRANSPOSE(CP$3:CP$14))</f>
        <v>80</v>
      </c>
      <c r="CQ55" s="3">
        <f t="array" ref="CQ55">SUMPRODUCT($J55:$U55,TRANSPOSE(CQ$3:CQ$14))</f>
        <v>80</v>
      </c>
      <c r="CR55" s="3">
        <f t="array" ref="CR55">SUMPRODUCT($J55:$U55,TRANSPOSE(CR$3:CR$14))</f>
        <v>80</v>
      </c>
      <c r="CS55" s="3">
        <f t="array" ref="CS55">SUMPRODUCT($J55:$U55,TRANSPOSE(CS$3:CS$14))</f>
        <v>40</v>
      </c>
      <c r="CT55" s="3">
        <f t="array" ref="CT55">SUMPRODUCT($J55:$U55,TRANSPOSE(CT$3:CT$14))</f>
        <v>0</v>
      </c>
      <c r="CU55" s="3">
        <f t="array" ref="CU55">SUMPRODUCT($J55:$U55,TRANSPOSE(CU$3:CU$14))</f>
        <v>0</v>
      </c>
      <c r="CV55" s="3">
        <f t="array" ref="CV55">SUMPRODUCT($J55:$U55,TRANSPOSE(CV$3:CV$14))</f>
        <v>0</v>
      </c>
      <c r="CW55" s="3">
        <f t="array" ref="CW55">SUMPRODUCT($J55:$U55,TRANSPOSE(CW$3:CW$14))</f>
        <v>0</v>
      </c>
      <c r="CX55" s="3">
        <f t="array" ref="CX55">SUMPRODUCT($J55:$U55,TRANSPOSE(CX$3:CX$14))</f>
        <v>0</v>
      </c>
      <c r="CY55" s="3">
        <f t="array" ref="CY55">SUMPRODUCT($J55:$U55,TRANSPOSE(CY$3:CY$14))</f>
        <v>0</v>
      </c>
      <c r="CZ55" s="3">
        <f t="array" ref="CZ55">SUMPRODUCT($J55:$U55,TRANSPOSE(CZ$3:CZ$14))</f>
        <v>0</v>
      </c>
      <c r="DA55" s="3">
        <f t="array" ref="DA55">SUMPRODUCT($J55:$U55,TRANSPOSE(DA$3:DA$14))</f>
        <v>0</v>
      </c>
      <c r="DB55" s="3">
        <f t="array" ref="DB55">SUMPRODUCT($J55:$U55,TRANSPOSE(DB$3:DB$14))</f>
        <v>0</v>
      </c>
      <c r="DC55" s="3">
        <f t="array" ref="DC55">SUMPRODUCT($J55:$U55,TRANSPOSE(DC$3:DC$14))</f>
        <v>0</v>
      </c>
      <c r="DD55" s="3">
        <f t="array" ref="DD55">SUMPRODUCT($J55:$U55,TRANSPOSE(DD$3:DD$14))</f>
        <v>0</v>
      </c>
      <c r="DE55" s="3">
        <f t="array" ref="DE55">SUMPRODUCT($J55:$U55,TRANSPOSE(DE$3:DE$14))</f>
        <v>0</v>
      </c>
    </row>
    <row r="56" spans="1:109" ht="13.5" thickBot="1" x14ac:dyDescent="0.25">
      <c r="A56" s="3">
        <v>85</v>
      </c>
      <c r="B56" s="9" t="s">
        <v>454</v>
      </c>
      <c r="C56" s="3" t="s">
        <v>49</v>
      </c>
      <c r="D56" s="3">
        <v>401531887</v>
      </c>
      <c r="F56" s="3" t="s">
        <v>455</v>
      </c>
      <c r="G56" s="3" t="s">
        <v>14</v>
      </c>
      <c r="H56" s="3">
        <v>1</v>
      </c>
      <c r="I56" s="3">
        <v>2</v>
      </c>
      <c r="J56" s="3">
        <v>0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f t="shared" si="39"/>
        <v>2</v>
      </c>
      <c r="W56" s="3">
        <f t="shared" si="38"/>
        <v>260</v>
      </c>
      <c r="X56" s="8" t="s">
        <v>363</v>
      </c>
      <c r="Y56" s="3">
        <v>139</v>
      </c>
      <c r="Z56" s="3" t="s">
        <v>55</v>
      </c>
      <c r="AA56" s="3" t="s">
        <v>56</v>
      </c>
      <c r="AB56" s="3">
        <v>91.973118825300006</v>
      </c>
      <c r="AC56" s="3" t="s">
        <v>57</v>
      </c>
      <c r="BJ56" s="3">
        <f>SUM($AE56,$AF56:AH56)-SUM($CH56:CK56)</f>
        <v>0</v>
      </c>
      <c r="BK56" s="3">
        <f>SUM($AE56,$AF56:AI56)-SUM($CH56:CL56)</f>
        <v>-20</v>
      </c>
      <c r="BL56" s="3">
        <f>SUM($AE56,$AF56:AJ56)-SUM($CH56:CM56)</f>
        <v>-50</v>
      </c>
      <c r="BM56" s="3">
        <f>SUM($AE56,$AF56:AK56)-SUM($CH56:CN56)</f>
        <v>-80</v>
      </c>
      <c r="BN56" s="3">
        <f>SUM($AE56,$AF56:AL56)-SUM($CH56:CO56)</f>
        <v>-120</v>
      </c>
      <c r="BO56" s="3">
        <f>SUM($AE56,$AF56:AM56)-SUM($CH56:CP56)</f>
        <v>-160</v>
      </c>
      <c r="BP56" s="3">
        <f>SUM($AE56,$AF56:AN56)-SUM($CH56:CQ56)</f>
        <v>-200</v>
      </c>
      <c r="BQ56" s="3">
        <f>SUM($AE56,$AF56:AO56)-SUM($CH56:CR56)</f>
        <v>-240</v>
      </c>
      <c r="BR56" s="3">
        <f>SUM($AE56,$AF56:AP56)-SUM($CH56:CS56)</f>
        <v>-260</v>
      </c>
      <c r="BS56" s="3">
        <f>SUM($AE56,$AF56:AQ56)-SUM($CH56:CT56)</f>
        <v>-260</v>
      </c>
      <c r="BT56" s="3">
        <f>SUM($AE56,$AF56:AR56)-SUM($CH56:CU56)</f>
        <v>-260</v>
      </c>
      <c r="BU56" s="3">
        <f>SUM($AE56,$AF56:AS56)-SUM($CH56:CV56)</f>
        <v>-260</v>
      </c>
      <c r="BV56" s="3">
        <f>SUM($AE56,$AF56:AT56)-SUM($CH56:CW56)</f>
        <v>-260</v>
      </c>
      <c r="BW56" s="3">
        <f>SUM($AE56,$AF56:AU56)-SUM($CH56:CX56)</f>
        <v>-260</v>
      </c>
      <c r="BX56" s="3">
        <f>SUM($AE56,$AF56:AV56)-SUM($CH56:CY56)</f>
        <v>-260</v>
      </c>
      <c r="BY56" s="3">
        <f>SUM($AE56,$AF56:AW56)-SUM($CH56:CZ56)</f>
        <v>-260</v>
      </c>
      <c r="BZ56" s="3">
        <f>SUM($AE56,$AF56:AX56)-SUM($CH56:DA56)</f>
        <v>-260</v>
      </c>
      <c r="CA56" s="3">
        <f>SUM($AE56,$AF56:AY56)-SUM($CH56:DB56)</f>
        <v>-260</v>
      </c>
      <c r="CB56" s="3">
        <f>SUM($AE56,$AF56:AZ56)-SUM($CH56:DC56)</f>
        <v>-260</v>
      </c>
      <c r="CC56" s="3">
        <f>SUM($AE56,$AF56:BA56)-SUM($CH56:DD56)</f>
        <v>-260</v>
      </c>
      <c r="CI56" s="3">
        <f t="array" ref="CI56">SUMPRODUCT($J56:$U56,TRANSPOSE(CI$3:CI$14))</f>
        <v>0</v>
      </c>
      <c r="CJ56" s="3">
        <f t="array" ref="CJ56">SUMPRODUCT($J56:$U56,TRANSPOSE(CJ$3:CJ$14))</f>
        <v>0</v>
      </c>
      <c r="CK56" s="3">
        <f t="array" ref="CK56">SUMPRODUCT($J56:$U56,TRANSPOSE(CK$3:CK$14))</f>
        <v>0</v>
      </c>
      <c r="CL56" s="3">
        <f t="array" ref="CL56">SUMPRODUCT($J56:$U56,TRANSPOSE(CL$3:CL$14))</f>
        <v>20</v>
      </c>
      <c r="CM56" s="3">
        <f t="array" ref="CM56">SUMPRODUCT($J56:$U56,TRANSPOSE(CM$3:CM$14))</f>
        <v>30</v>
      </c>
      <c r="CN56" s="3">
        <f t="array" ref="CN56">SUMPRODUCT($J56:$U56,TRANSPOSE(CN$3:CN$14))</f>
        <v>30</v>
      </c>
      <c r="CO56" s="3">
        <f t="array" ref="CO56">SUMPRODUCT($J56:$U56,TRANSPOSE(CO$3:CO$14))</f>
        <v>40</v>
      </c>
      <c r="CP56" s="3">
        <f t="array" ref="CP56">SUMPRODUCT($J56:$U56,TRANSPOSE(CP$3:CP$14))</f>
        <v>40</v>
      </c>
      <c r="CQ56" s="3">
        <f t="array" ref="CQ56">SUMPRODUCT($J56:$U56,TRANSPOSE(CQ$3:CQ$14))</f>
        <v>40</v>
      </c>
      <c r="CR56" s="3">
        <f t="array" ref="CR56">SUMPRODUCT($J56:$U56,TRANSPOSE(CR$3:CR$14))</f>
        <v>40</v>
      </c>
      <c r="CS56" s="3">
        <f t="array" ref="CS56">SUMPRODUCT($J56:$U56,TRANSPOSE(CS$3:CS$14))</f>
        <v>20</v>
      </c>
      <c r="CT56" s="3">
        <f t="array" ref="CT56">SUMPRODUCT($J56:$U56,TRANSPOSE(CT$3:CT$14))</f>
        <v>0</v>
      </c>
      <c r="CU56" s="3">
        <f t="array" ref="CU56">SUMPRODUCT($J56:$U56,TRANSPOSE(CU$3:CU$14))</f>
        <v>0</v>
      </c>
      <c r="CV56" s="3">
        <f t="array" ref="CV56">SUMPRODUCT($J56:$U56,TRANSPOSE(CV$3:CV$14))</f>
        <v>0</v>
      </c>
      <c r="CW56" s="3">
        <f t="array" ref="CW56">SUMPRODUCT($J56:$U56,TRANSPOSE(CW$3:CW$14))</f>
        <v>0</v>
      </c>
      <c r="CX56" s="3">
        <f t="array" ref="CX56">SUMPRODUCT($J56:$U56,TRANSPOSE(CX$3:CX$14))</f>
        <v>0</v>
      </c>
      <c r="CY56" s="3">
        <f t="array" ref="CY56">SUMPRODUCT($J56:$U56,TRANSPOSE(CY$3:CY$14))</f>
        <v>0</v>
      </c>
      <c r="CZ56" s="3">
        <f t="array" ref="CZ56">SUMPRODUCT($J56:$U56,TRANSPOSE(CZ$3:CZ$14))</f>
        <v>0</v>
      </c>
      <c r="DA56" s="3">
        <f t="array" ref="DA56">SUMPRODUCT($J56:$U56,TRANSPOSE(DA$3:DA$14))</f>
        <v>0</v>
      </c>
      <c r="DB56" s="3">
        <f t="array" ref="DB56">SUMPRODUCT($J56:$U56,TRANSPOSE(DB$3:DB$14))</f>
        <v>0</v>
      </c>
      <c r="DC56" s="3">
        <f t="array" ref="DC56">SUMPRODUCT($J56:$U56,TRANSPOSE(DC$3:DC$14))</f>
        <v>0</v>
      </c>
      <c r="DD56" s="3">
        <f t="array" ref="DD56">SUMPRODUCT($J56:$U56,TRANSPOSE(DD$3:DD$14))</f>
        <v>0</v>
      </c>
      <c r="DE56" s="3">
        <f t="array" ref="DE56">SUMPRODUCT($J56:$U56,TRANSPOSE(DE$3:DE$14))</f>
        <v>0</v>
      </c>
    </row>
    <row r="57" spans="1:109" ht="13.5" thickBot="1" x14ac:dyDescent="0.25">
      <c r="A57" s="3">
        <v>86</v>
      </c>
      <c r="B57" s="9" t="s">
        <v>456</v>
      </c>
      <c r="C57" s="3" t="s">
        <v>49</v>
      </c>
      <c r="D57" s="3">
        <v>401367425</v>
      </c>
      <c r="F57" s="3" t="s">
        <v>457</v>
      </c>
      <c r="G57" s="3" t="s">
        <v>14</v>
      </c>
      <c r="H57" s="3">
        <v>1</v>
      </c>
      <c r="I57" s="3">
        <v>3</v>
      </c>
      <c r="J57" s="3">
        <v>0</v>
      </c>
      <c r="K57" s="3">
        <v>1</v>
      </c>
      <c r="L57" s="3">
        <v>0</v>
      </c>
      <c r="M57" s="3">
        <v>0</v>
      </c>
      <c r="N57" s="3">
        <v>2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f t="shared" si="39"/>
        <v>3</v>
      </c>
      <c r="W57" s="3">
        <f t="shared" si="38"/>
        <v>390</v>
      </c>
      <c r="X57" s="8" t="s">
        <v>363</v>
      </c>
      <c r="Y57" s="3">
        <v>85</v>
      </c>
      <c r="Z57" s="3" t="s">
        <v>55</v>
      </c>
      <c r="AA57" s="3" t="s">
        <v>56</v>
      </c>
      <c r="AB57" s="3">
        <v>91.973118825300006</v>
      </c>
      <c r="AC57" s="3" t="s">
        <v>57</v>
      </c>
      <c r="BJ57" s="3">
        <f>SUM($AE57,$AF57:AH57)-SUM($CH57:CK57)</f>
        <v>0</v>
      </c>
      <c r="BK57" s="3">
        <f>SUM($AE57,$AF57:AI57)-SUM($CH57:CL57)</f>
        <v>-30</v>
      </c>
      <c r="BL57" s="3">
        <f>SUM($AE57,$AF57:AJ57)-SUM($CH57:CM57)</f>
        <v>-75</v>
      </c>
      <c r="BM57" s="3">
        <f>SUM($AE57,$AF57:AK57)-SUM($CH57:CN57)</f>
        <v>-120</v>
      </c>
      <c r="BN57" s="3">
        <f>SUM($AE57,$AF57:AL57)-SUM($CH57:CO57)</f>
        <v>-180</v>
      </c>
      <c r="BO57" s="3">
        <f>SUM($AE57,$AF57:AM57)-SUM($CH57:CP57)</f>
        <v>-240</v>
      </c>
      <c r="BP57" s="3">
        <f>SUM($AE57,$AF57:AN57)-SUM($CH57:CQ57)</f>
        <v>-300</v>
      </c>
      <c r="BQ57" s="3">
        <f>SUM($AE57,$AF57:AO57)-SUM($CH57:CR57)</f>
        <v>-360</v>
      </c>
      <c r="BR57" s="3">
        <f>SUM($AE57,$AF57:AP57)-SUM($CH57:CS57)</f>
        <v>-390</v>
      </c>
      <c r="BS57" s="3">
        <f>SUM($AE57,$AF57:AQ57)-SUM($CH57:CT57)</f>
        <v>-390</v>
      </c>
      <c r="BT57" s="3">
        <f>SUM($AE57,$AF57:AR57)-SUM($CH57:CU57)</f>
        <v>-390</v>
      </c>
      <c r="BU57" s="3">
        <f>SUM($AE57,$AF57:AS57)-SUM($CH57:CV57)</f>
        <v>-390</v>
      </c>
      <c r="BV57" s="3">
        <f>SUM($AE57,$AF57:AT57)-SUM($CH57:CW57)</f>
        <v>-390</v>
      </c>
      <c r="BW57" s="3">
        <f>SUM($AE57,$AF57:AU57)-SUM($CH57:CX57)</f>
        <v>-390</v>
      </c>
      <c r="BX57" s="3">
        <f>SUM($AE57,$AF57:AV57)-SUM($CH57:CY57)</f>
        <v>-390</v>
      </c>
      <c r="BY57" s="3">
        <f>SUM($AE57,$AF57:AW57)-SUM($CH57:CZ57)</f>
        <v>-390</v>
      </c>
      <c r="BZ57" s="3">
        <f>SUM($AE57,$AF57:AX57)-SUM($CH57:DA57)</f>
        <v>-390</v>
      </c>
      <c r="CA57" s="3">
        <f>SUM($AE57,$AF57:AY57)-SUM($CH57:DB57)</f>
        <v>-390</v>
      </c>
      <c r="CB57" s="3">
        <f>SUM($AE57,$AF57:AZ57)-SUM($CH57:DC57)</f>
        <v>-390</v>
      </c>
      <c r="CC57" s="3">
        <f>SUM($AE57,$AF57:BA57)-SUM($CH57:DD57)</f>
        <v>-390</v>
      </c>
      <c r="CI57" s="3">
        <f t="array" ref="CI57">SUMPRODUCT($J57:$U57,TRANSPOSE(CI$3:CI$14))</f>
        <v>0</v>
      </c>
      <c r="CJ57" s="3">
        <f t="array" ref="CJ57">SUMPRODUCT($J57:$U57,TRANSPOSE(CJ$3:CJ$14))</f>
        <v>0</v>
      </c>
      <c r="CK57" s="3">
        <f t="array" ref="CK57">SUMPRODUCT($J57:$U57,TRANSPOSE(CK$3:CK$14))</f>
        <v>0</v>
      </c>
      <c r="CL57" s="3">
        <f t="array" ref="CL57">SUMPRODUCT($J57:$U57,TRANSPOSE(CL$3:CL$14))</f>
        <v>30</v>
      </c>
      <c r="CM57" s="3">
        <f t="array" ref="CM57">SUMPRODUCT($J57:$U57,TRANSPOSE(CM$3:CM$14))</f>
        <v>45</v>
      </c>
      <c r="CN57" s="3">
        <f t="array" ref="CN57">SUMPRODUCT($J57:$U57,TRANSPOSE(CN$3:CN$14))</f>
        <v>45</v>
      </c>
      <c r="CO57" s="3">
        <f t="array" ref="CO57">SUMPRODUCT($J57:$U57,TRANSPOSE(CO$3:CO$14))</f>
        <v>60</v>
      </c>
      <c r="CP57" s="3">
        <f t="array" ref="CP57">SUMPRODUCT($J57:$U57,TRANSPOSE(CP$3:CP$14))</f>
        <v>60</v>
      </c>
      <c r="CQ57" s="3">
        <f t="array" ref="CQ57">SUMPRODUCT($J57:$U57,TRANSPOSE(CQ$3:CQ$14))</f>
        <v>60</v>
      </c>
      <c r="CR57" s="3">
        <f t="array" ref="CR57">SUMPRODUCT($J57:$U57,TRANSPOSE(CR$3:CR$14))</f>
        <v>60</v>
      </c>
      <c r="CS57" s="3">
        <f t="array" ref="CS57">SUMPRODUCT($J57:$U57,TRANSPOSE(CS$3:CS$14))</f>
        <v>30</v>
      </c>
      <c r="CT57" s="3">
        <f t="array" ref="CT57">SUMPRODUCT($J57:$U57,TRANSPOSE(CT$3:CT$14))</f>
        <v>0</v>
      </c>
      <c r="CU57" s="3">
        <f t="array" ref="CU57">SUMPRODUCT($J57:$U57,TRANSPOSE(CU$3:CU$14))</f>
        <v>0</v>
      </c>
      <c r="CV57" s="3">
        <f t="array" ref="CV57">SUMPRODUCT($J57:$U57,TRANSPOSE(CV$3:CV$14))</f>
        <v>0</v>
      </c>
      <c r="CW57" s="3">
        <f t="array" ref="CW57">SUMPRODUCT($J57:$U57,TRANSPOSE(CW$3:CW$14))</f>
        <v>0</v>
      </c>
      <c r="CX57" s="3">
        <f t="array" ref="CX57">SUMPRODUCT($J57:$U57,TRANSPOSE(CX$3:CX$14))</f>
        <v>0</v>
      </c>
      <c r="CY57" s="3">
        <f t="array" ref="CY57">SUMPRODUCT($J57:$U57,TRANSPOSE(CY$3:CY$14))</f>
        <v>0</v>
      </c>
      <c r="CZ57" s="3">
        <f t="array" ref="CZ57">SUMPRODUCT($J57:$U57,TRANSPOSE(CZ$3:CZ$14))</f>
        <v>0</v>
      </c>
      <c r="DA57" s="3">
        <f t="array" ref="DA57">SUMPRODUCT($J57:$U57,TRANSPOSE(DA$3:DA$14))</f>
        <v>0</v>
      </c>
      <c r="DB57" s="3">
        <f t="array" ref="DB57">SUMPRODUCT($J57:$U57,TRANSPOSE(DB$3:DB$14))</f>
        <v>0</v>
      </c>
      <c r="DC57" s="3">
        <f t="array" ref="DC57">SUMPRODUCT($J57:$U57,TRANSPOSE(DC$3:DC$14))</f>
        <v>0</v>
      </c>
      <c r="DD57" s="3">
        <f t="array" ref="DD57">SUMPRODUCT($J57:$U57,TRANSPOSE(DD$3:DD$14))</f>
        <v>0</v>
      </c>
      <c r="DE57" s="3">
        <f t="array" ref="DE57">SUMPRODUCT($J57:$U57,TRANSPOSE(DE$3:DE$14))</f>
        <v>0</v>
      </c>
    </row>
    <row r="58" spans="1:109" ht="13.5" thickBot="1" x14ac:dyDescent="0.25">
      <c r="A58" s="3">
        <v>88</v>
      </c>
      <c r="B58" s="9" t="s">
        <v>458</v>
      </c>
      <c r="C58" s="3" t="s">
        <v>13</v>
      </c>
      <c r="D58" s="3">
        <v>401380518</v>
      </c>
      <c r="F58" s="3" t="s">
        <v>59</v>
      </c>
      <c r="G58" s="3" t="s">
        <v>14</v>
      </c>
      <c r="H58" s="3">
        <v>1</v>
      </c>
      <c r="I58" s="3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f t="shared" si="39"/>
        <v>2</v>
      </c>
      <c r="W58" s="3">
        <f t="shared" si="38"/>
        <v>284</v>
      </c>
      <c r="X58" s="8" t="s">
        <v>363</v>
      </c>
      <c r="Y58" s="3">
        <v>8.5</v>
      </c>
      <c r="Z58" s="3" t="s">
        <v>55</v>
      </c>
      <c r="AA58" s="3" t="s">
        <v>56</v>
      </c>
      <c r="AB58" s="3">
        <v>91.973118825300006</v>
      </c>
      <c r="AC58" s="3" t="s">
        <v>57</v>
      </c>
      <c r="BJ58" s="3">
        <f>SUM($AE58,$AF58:AH58)-SUM($CH58:CK58)</f>
        <v>0</v>
      </c>
      <c r="BK58" s="3">
        <f>SUM($AE58,$AF58:AI58)-SUM($CH58:CL58)</f>
        <v>-20</v>
      </c>
      <c r="BL58" s="3">
        <f>SUM($AE58,$AF58:AJ58)-SUM($CH58:CM58)</f>
        <v>-50</v>
      </c>
      <c r="BM58" s="3">
        <f>SUM($AE58,$AF58:AK58)-SUM($CH58:CN58)</f>
        <v>-84</v>
      </c>
      <c r="BN58" s="3">
        <f>SUM($AE58,$AF58:AL58)-SUM($CH58:CO58)</f>
        <v>-124</v>
      </c>
      <c r="BO58" s="3">
        <f>SUM($AE58,$AF58:AM58)-SUM($CH58:CP58)</f>
        <v>-164</v>
      </c>
      <c r="BP58" s="3">
        <f>SUM($AE58,$AF58:AN58)-SUM($CH58:CQ58)</f>
        <v>-204</v>
      </c>
      <c r="BQ58" s="3">
        <f>SUM($AE58,$AF58:AO58)-SUM($CH58:CR58)</f>
        <v>-244</v>
      </c>
      <c r="BR58" s="3">
        <f>SUM($AE58,$AF58:AP58)-SUM($CH58:CS58)</f>
        <v>-284</v>
      </c>
      <c r="BS58" s="3">
        <f>SUM($AE58,$AF58:AQ58)-SUM($CH58:CT58)</f>
        <v>-284</v>
      </c>
      <c r="BT58" s="3">
        <f>SUM($AE58,$AF58:AR58)-SUM($CH58:CU58)</f>
        <v>-284</v>
      </c>
      <c r="BU58" s="3">
        <f>SUM($AE58,$AF58:AS58)-SUM($CH58:CV58)</f>
        <v>-284</v>
      </c>
      <c r="BV58" s="3">
        <f>SUM($AE58,$AF58:AT58)-SUM($CH58:CW58)</f>
        <v>-284</v>
      </c>
      <c r="BW58" s="3">
        <f>SUM($AE58,$AF58:AU58)-SUM($CH58:CX58)</f>
        <v>-284</v>
      </c>
      <c r="BX58" s="3">
        <f>SUM($AE58,$AF58:AV58)-SUM($CH58:CY58)</f>
        <v>-284</v>
      </c>
      <c r="BY58" s="3">
        <f>SUM($AE58,$AF58:AW58)-SUM($CH58:CZ58)</f>
        <v>-284</v>
      </c>
      <c r="BZ58" s="3">
        <f>SUM($AE58,$AF58:AX58)-SUM($CH58:DA58)</f>
        <v>-284</v>
      </c>
      <c r="CA58" s="3">
        <f>SUM($AE58,$AF58:AY58)-SUM($CH58:DB58)</f>
        <v>-284</v>
      </c>
      <c r="CB58" s="3">
        <f>SUM($AE58,$AF58:AZ58)-SUM($CH58:DC58)</f>
        <v>-284</v>
      </c>
      <c r="CC58" s="3">
        <f>SUM($AE58,$AF58:BA58)-SUM($CH58:DD58)</f>
        <v>-284</v>
      </c>
      <c r="CI58" s="3">
        <f t="array" ref="CI58">SUMPRODUCT($J58:$U58,TRANSPOSE(CI$3:CI$14))</f>
        <v>0</v>
      </c>
      <c r="CJ58" s="3">
        <f t="array" ref="CJ58">SUMPRODUCT($J58:$U58,TRANSPOSE(CJ$3:CJ$14))</f>
        <v>0</v>
      </c>
      <c r="CK58" s="3">
        <f t="array" ref="CK58">SUMPRODUCT($J58:$U58,TRANSPOSE(CK$3:CK$14))</f>
        <v>0</v>
      </c>
      <c r="CL58" s="3">
        <f t="array" ref="CL58">SUMPRODUCT($J58:$U58,TRANSPOSE(CL$3:CL$14))</f>
        <v>20</v>
      </c>
      <c r="CM58" s="3">
        <f t="array" ref="CM58">SUMPRODUCT($J58:$U58,TRANSPOSE(CM$3:CM$14))</f>
        <v>30</v>
      </c>
      <c r="CN58" s="3">
        <f t="array" ref="CN58">SUMPRODUCT($J58:$U58,TRANSPOSE(CN$3:CN$14))</f>
        <v>34</v>
      </c>
      <c r="CO58" s="3">
        <f t="array" ref="CO58">SUMPRODUCT($J58:$U58,TRANSPOSE(CO$3:CO$14))</f>
        <v>40</v>
      </c>
      <c r="CP58" s="3">
        <f t="array" ref="CP58">SUMPRODUCT($J58:$U58,TRANSPOSE(CP$3:CP$14))</f>
        <v>40</v>
      </c>
      <c r="CQ58" s="3">
        <f t="array" ref="CQ58">SUMPRODUCT($J58:$U58,TRANSPOSE(CQ$3:CQ$14))</f>
        <v>40</v>
      </c>
      <c r="CR58" s="3">
        <f t="array" ref="CR58">SUMPRODUCT($J58:$U58,TRANSPOSE(CR$3:CR$14))</f>
        <v>40</v>
      </c>
      <c r="CS58" s="3">
        <f t="array" ref="CS58">SUMPRODUCT($J58:$U58,TRANSPOSE(CS$3:CS$14))</f>
        <v>40</v>
      </c>
      <c r="CT58" s="3">
        <f t="array" ref="CT58">SUMPRODUCT($J58:$U58,TRANSPOSE(CT$3:CT$14))</f>
        <v>0</v>
      </c>
      <c r="CU58" s="3">
        <f t="array" ref="CU58">SUMPRODUCT($J58:$U58,TRANSPOSE(CU$3:CU$14))</f>
        <v>0</v>
      </c>
      <c r="CV58" s="3">
        <f t="array" ref="CV58">SUMPRODUCT($J58:$U58,TRANSPOSE(CV$3:CV$14))</f>
        <v>0</v>
      </c>
      <c r="CW58" s="3">
        <f t="array" ref="CW58">SUMPRODUCT($J58:$U58,TRANSPOSE(CW$3:CW$14))</f>
        <v>0</v>
      </c>
      <c r="CX58" s="3">
        <f t="array" ref="CX58">SUMPRODUCT($J58:$U58,TRANSPOSE(CX$3:CX$14))</f>
        <v>0</v>
      </c>
      <c r="CY58" s="3">
        <f t="array" ref="CY58">SUMPRODUCT($J58:$U58,TRANSPOSE(CY$3:CY$14))</f>
        <v>0</v>
      </c>
      <c r="CZ58" s="3">
        <f t="array" ref="CZ58">SUMPRODUCT($J58:$U58,TRANSPOSE(CZ$3:CZ$14))</f>
        <v>0</v>
      </c>
      <c r="DA58" s="3">
        <f t="array" ref="DA58">SUMPRODUCT($J58:$U58,TRANSPOSE(DA$3:DA$14))</f>
        <v>0</v>
      </c>
      <c r="DB58" s="3">
        <f t="array" ref="DB58">SUMPRODUCT($J58:$U58,TRANSPOSE(DB$3:DB$14))</f>
        <v>0</v>
      </c>
      <c r="DC58" s="3">
        <f t="array" ref="DC58">SUMPRODUCT($J58:$U58,TRANSPOSE(DC$3:DC$14))</f>
        <v>0</v>
      </c>
      <c r="DD58" s="3">
        <f t="array" ref="DD58">SUMPRODUCT($J58:$U58,TRANSPOSE(DD$3:DD$14))</f>
        <v>0</v>
      </c>
      <c r="DE58" s="3">
        <f t="array" ref="DE58">SUMPRODUCT($J58:$U58,TRANSPOSE(DE$3:DE$14))</f>
        <v>0</v>
      </c>
    </row>
    <row r="59" spans="1:109" ht="13.5" thickBot="1" x14ac:dyDescent="0.25">
      <c r="A59" s="3">
        <v>89</v>
      </c>
      <c r="B59" s="9" t="s">
        <v>459</v>
      </c>
      <c r="C59" s="3" t="s">
        <v>13</v>
      </c>
      <c r="D59" s="3">
        <v>401367424</v>
      </c>
      <c r="F59" s="3" t="s">
        <v>59</v>
      </c>
      <c r="G59" s="3" t="s">
        <v>14</v>
      </c>
      <c r="H59" s="3">
        <v>1</v>
      </c>
      <c r="I59" s="3">
        <v>3</v>
      </c>
      <c r="J59" s="3">
        <v>0</v>
      </c>
      <c r="K59" s="3">
        <v>2</v>
      </c>
      <c r="L59" s="3">
        <v>0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f t="shared" si="39"/>
        <v>3</v>
      </c>
      <c r="W59" s="3">
        <f t="shared" si="38"/>
        <v>390</v>
      </c>
      <c r="X59" s="8" t="s">
        <v>363</v>
      </c>
      <c r="Y59" s="3">
        <v>12</v>
      </c>
      <c r="Z59" s="3" t="s">
        <v>55</v>
      </c>
      <c r="AA59" s="3" t="s">
        <v>56</v>
      </c>
      <c r="AB59" s="3">
        <v>91.973118825300006</v>
      </c>
      <c r="AC59" s="3" t="s">
        <v>57</v>
      </c>
      <c r="BJ59" s="3">
        <f>SUM($AE59,$AF59:AH59)-SUM($CH59:CK59)</f>
        <v>0</v>
      </c>
      <c r="BK59" s="3">
        <f>SUM($AE59,$AF59:AI59)-SUM($CH59:CL59)</f>
        <v>-30</v>
      </c>
      <c r="BL59" s="3">
        <f>SUM($AE59,$AF59:AJ59)-SUM($CH59:CM59)</f>
        <v>-75</v>
      </c>
      <c r="BM59" s="3">
        <f>SUM($AE59,$AF59:AK59)-SUM($CH59:CN59)</f>
        <v>-120</v>
      </c>
      <c r="BN59" s="3">
        <f>SUM($AE59,$AF59:AL59)-SUM($CH59:CO59)</f>
        <v>-180</v>
      </c>
      <c r="BO59" s="3">
        <f>SUM($AE59,$AF59:AM59)-SUM($CH59:CP59)</f>
        <v>-240</v>
      </c>
      <c r="BP59" s="3">
        <f>SUM($AE59,$AF59:AN59)-SUM($CH59:CQ59)</f>
        <v>-300</v>
      </c>
      <c r="BQ59" s="3">
        <f>SUM($AE59,$AF59:AO59)-SUM($CH59:CR59)</f>
        <v>-360</v>
      </c>
      <c r="BR59" s="3">
        <f>SUM($AE59,$AF59:AP59)-SUM($CH59:CS59)</f>
        <v>-390</v>
      </c>
      <c r="BS59" s="3">
        <f>SUM($AE59,$AF59:AQ59)-SUM($CH59:CT59)</f>
        <v>-390</v>
      </c>
      <c r="BT59" s="3">
        <f>SUM($AE59,$AF59:AR59)-SUM($CH59:CU59)</f>
        <v>-390</v>
      </c>
      <c r="BU59" s="3">
        <f>SUM($AE59,$AF59:AS59)-SUM($CH59:CV59)</f>
        <v>-390</v>
      </c>
      <c r="BV59" s="3">
        <f>SUM($AE59,$AF59:AT59)-SUM($CH59:CW59)</f>
        <v>-390</v>
      </c>
      <c r="BW59" s="3">
        <f>SUM($AE59,$AF59:AU59)-SUM($CH59:CX59)</f>
        <v>-390</v>
      </c>
      <c r="BX59" s="3">
        <f>SUM($AE59,$AF59:AV59)-SUM($CH59:CY59)</f>
        <v>-390</v>
      </c>
      <c r="BY59" s="3">
        <f>SUM($AE59,$AF59:AW59)-SUM($CH59:CZ59)</f>
        <v>-390</v>
      </c>
      <c r="BZ59" s="3">
        <f>SUM($AE59,$AF59:AX59)-SUM($CH59:DA59)</f>
        <v>-390</v>
      </c>
      <c r="CA59" s="3">
        <f>SUM($AE59,$AF59:AY59)-SUM($CH59:DB59)</f>
        <v>-390</v>
      </c>
      <c r="CB59" s="3">
        <f>SUM($AE59,$AF59:AZ59)-SUM($CH59:DC59)</f>
        <v>-390</v>
      </c>
      <c r="CC59" s="3">
        <f>SUM($AE59,$AF59:BA59)-SUM($CH59:DD59)</f>
        <v>-390</v>
      </c>
      <c r="CI59" s="3">
        <f t="array" ref="CI59">SUMPRODUCT($J59:$U59,TRANSPOSE(CI$3:CI$14))</f>
        <v>0</v>
      </c>
      <c r="CJ59" s="3">
        <f t="array" ref="CJ59">SUMPRODUCT($J59:$U59,TRANSPOSE(CJ$3:CJ$14))</f>
        <v>0</v>
      </c>
      <c r="CK59" s="3">
        <f t="array" ref="CK59">SUMPRODUCT($J59:$U59,TRANSPOSE(CK$3:CK$14))</f>
        <v>0</v>
      </c>
      <c r="CL59" s="3">
        <f t="array" ref="CL59">SUMPRODUCT($J59:$U59,TRANSPOSE(CL$3:CL$14))</f>
        <v>30</v>
      </c>
      <c r="CM59" s="3">
        <f t="array" ref="CM59">SUMPRODUCT($J59:$U59,TRANSPOSE(CM$3:CM$14))</f>
        <v>45</v>
      </c>
      <c r="CN59" s="3">
        <f t="array" ref="CN59">SUMPRODUCT($J59:$U59,TRANSPOSE(CN$3:CN$14))</f>
        <v>45</v>
      </c>
      <c r="CO59" s="3">
        <f t="array" ref="CO59">SUMPRODUCT($J59:$U59,TRANSPOSE(CO$3:CO$14))</f>
        <v>60</v>
      </c>
      <c r="CP59" s="3">
        <f t="array" ref="CP59">SUMPRODUCT($J59:$U59,TRANSPOSE(CP$3:CP$14))</f>
        <v>60</v>
      </c>
      <c r="CQ59" s="3">
        <f t="array" ref="CQ59">SUMPRODUCT($J59:$U59,TRANSPOSE(CQ$3:CQ$14))</f>
        <v>60</v>
      </c>
      <c r="CR59" s="3">
        <f t="array" ref="CR59">SUMPRODUCT($J59:$U59,TRANSPOSE(CR$3:CR$14))</f>
        <v>60</v>
      </c>
      <c r="CS59" s="3">
        <f t="array" ref="CS59">SUMPRODUCT($J59:$U59,TRANSPOSE(CS$3:CS$14))</f>
        <v>30</v>
      </c>
      <c r="CT59" s="3">
        <f t="array" ref="CT59">SUMPRODUCT($J59:$U59,TRANSPOSE(CT$3:CT$14))</f>
        <v>0</v>
      </c>
      <c r="CU59" s="3">
        <f t="array" ref="CU59">SUMPRODUCT($J59:$U59,TRANSPOSE(CU$3:CU$14))</f>
        <v>0</v>
      </c>
      <c r="CV59" s="3">
        <f t="array" ref="CV59">SUMPRODUCT($J59:$U59,TRANSPOSE(CV$3:CV$14))</f>
        <v>0</v>
      </c>
      <c r="CW59" s="3">
        <f t="array" ref="CW59">SUMPRODUCT($J59:$U59,TRANSPOSE(CW$3:CW$14))</f>
        <v>0</v>
      </c>
      <c r="CX59" s="3">
        <f t="array" ref="CX59">SUMPRODUCT($J59:$U59,TRANSPOSE(CX$3:CX$14))</f>
        <v>0</v>
      </c>
      <c r="CY59" s="3">
        <f t="array" ref="CY59">SUMPRODUCT($J59:$U59,TRANSPOSE(CY$3:CY$14))</f>
        <v>0</v>
      </c>
      <c r="CZ59" s="3">
        <f t="array" ref="CZ59">SUMPRODUCT($J59:$U59,TRANSPOSE(CZ$3:CZ$14))</f>
        <v>0</v>
      </c>
      <c r="DA59" s="3">
        <f t="array" ref="DA59">SUMPRODUCT($J59:$U59,TRANSPOSE(DA$3:DA$14))</f>
        <v>0</v>
      </c>
      <c r="DB59" s="3">
        <f t="array" ref="DB59">SUMPRODUCT($J59:$U59,TRANSPOSE(DB$3:DB$14))</f>
        <v>0</v>
      </c>
      <c r="DC59" s="3">
        <f t="array" ref="DC59">SUMPRODUCT($J59:$U59,TRANSPOSE(DC$3:DC$14))</f>
        <v>0</v>
      </c>
      <c r="DD59" s="3">
        <f t="array" ref="DD59">SUMPRODUCT($J59:$U59,TRANSPOSE(DD$3:DD$14))</f>
        <v>0</v>
      </c>
      <c r="DE59" s="3">
        <f t="array" ref="DE59">SUMPRODUCT($J59:$U59,TRANSPOSE(DE$3:DE$14))</f>
        <v>0</v>
      </c>
    </row>
    <row r="60" spans="1:109" ht="13.5" thickBot="1" x14ac:dyDescent="0.25">
      <c r="A60" s="3">
        <v>90</v>
      </c>
      <c r="B60" s="9" t="s">
        <v>460</v>
      </c>
      <c r="C60" s="3" t="s">
        <v>13</v>
      </c>
      <c r="D60" s="3">
        <v>401369264</v>
      </c>
      <c r="F60" s="3" t="s">
        <v>43</v>
      </c>
      <c r="G60" s="3" t="s">
        <v>14</v>
      </c>
      <c r="H60" s="3">
        <v>1</v>
      </c>
      <c r="I60" s="3">
        <v>8</v>
      </c>
      <c r="J60" s="3">
        <v>0</v>
      </c>
      <c r="K60" s="3">
        <v>0</v>
      </c>
      <c r="L60" s="3">
        <v>4</v>
      </c>
      <c r="M60" s="3">
        <v>0</v>
      </c>
      <c r="N60" s="3">
        <v>0</v>
      </c>
      <c r="O60" s="3">
        <v>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f t="shared" si="39"/>
        <v>8</v>
      </c>
      <c r="W60" s="3">
        <f t="shared" si="38"/>
        <v>1040</v>
      </c>
      <c r="X60" s="8" t="s">
        <v>363</v>
      </c>
      <c r="Y60" s="3">
        <v>2.66</v>
      </c>
      <c r="Z60" s="3" t="s">
        <v>44</v>
      </c>
      <c r="AA60" s="3" t="s">
        <v>45</v>
      </c>
      <c r="AB60" s="3" t="s">
        <v>46</v>
      </c>
      <c r="AC60" s="3" t="s">
        <v>47</v>
      </c>
      <c r="BJ60" s="3">
        <f>SUM($AE60,$AF60:AH60)-SUM($CH60:CK60)</f>
        <v>-80</v>
      </c>
      <c r="BK60" s="3">
        <f>SUM($AE60,$AF60:AI60)-SUM($CH60:CL60)</f>
        <v>-200</v>
      </c>
      <c r="BL60" s="3">
        <f>SUM($AE60,$AF60:AJ60)-SUM($CH60:CM60)</f>
        <v>-320</v>
      </c>
      <c r="BM60" s="3">
        <f>SUM($AE60,$AF60:AK60)-SUM($CH60:CN60)</f>
        <v>-480</v>
      </c>
      <c r="BN60" s="3">
        <f>SUM($AE60,$AF60:AL60)-SUM($CH60:CO60)</f>
        <v>-640</v>
      </c>
      <c r="BO60" s="3">
        <f>SUM($AE60,$AF60:AM60)-SUM($CH60:CP60)</f>
        <v>-800</v>
      </c>
      <c r="BP60" s="3">
        <f>SUM($AE60,$AF60:AN60)-SUM($CH60:CQ60)</f>
        <v>-960</v>
      </c>
      <c r="BQ60" s="3">
        <f>SUM($AE60,$AF60:AO60)-SUM($CH60:CR60)</f>
        <v>-1040</v>
      </c>
      <c r="BR60" s="3">
        <f>SUM($AE60,$AF60:AP60)-SUM($CH60:CS60)</f>
        <v>-1040</v>
      </c>
      <c r="BS60" s="3">
        <f>SUM($AE60,$AF60:AQ60)-SUM($CH60:CT60)</f>
        <v>-1040</v>
      </c>
      <c r="BT60" s="3">
        <f>SUM($AE60,$AF60:AR60)-SUM($CH60:CU60)</f>
        <v>-1040</v>
      </c>
      <c r="BU60" s="3">
        <f>SUM($AE60,$AF60:AS60)-SUM($CH60:CV60)</f>
        <v>-1040</v>
      </c>
      <c r="BV60" s="3">
        <f>SUM($AE60,$AF60:AT60)-SUM($CH60:CW60)</f>
        <v>-1040</v>
      </c>
      <c r="BW60" s="3">
        <f>SUM($AE60,$AF60:AU60)-SUM($CH60:CX60)</f>
        <v>-1040</v>
      </c>
      <c r="BX60" s="3">
        <f>SUM($AE60,$AF60:AV60)-SUM($CH60:CY60)</f>
        <v>-1040</v>
      </c>
      <c r="BY60" s="3">
        <f>SUM($AE60,$AF60:AW60)-SUM($CH60:CZ60)</f>
        <v>-1040</v>
      </c>
      <c r="BZ60" s="3">
        <f>SUM($AE60,$AF60:AX60)-SUM($CH60:DA60)</f>
        <v>-1040</v>
      </c>
      <c r="CA60" s="3">
        <f>SUM($AE60,$AF60:AY60)-SUM($CH60:DB60)</f>
        <v>-1040</v>
      </c>
      <c r="CB60" s="3">
        <f>SUM($AE60,$AF60:AZ60)-SUM($CH60:DC60)</f>
        <v>-1040</v>
      </c>
      <c r="CC60" s="3">
        <f>SUM($AE60,$AF60:BA60)-SUM($CH60:DD60)</f>
        <v>-1040</v>
      </c>
      <c r="CI60" s="3">
        <f t="array" ref="CI60">SUMPRODUCT($J60:$U60,TRANSPOSE(CI$3:CI$14))</f>
        <v>0</v>
      </c>
      <c r="CJ60" s="3">
        <f t="array" ref="CJ60">SUMPRODUCT($J60:$U60,TRANSPOSE(CJ$3:CJ$14))</f>
        <v>0</v>
      </c>
      <c r="CK60" s="3">
        <f t="array" ref="CK60">SUMPRODUCT($J60:$U60,TRANSPOSE(CK$3:CK$14))</f>
        <v>80</v>
      </c>
      <c r="CL60" s="3">
        <f t="array" ref="CL60">SUMPRODUCT($J60:$U60,TRANSPOSE(CL$3:CL$14))</f>
        <v>120</v>
      </c>
      <c r="CM60" s="3">
        <f t="array" ref="CM60">SUMPRODUCT($J60:$U60,TRANSPOSE(CM$3:CM$14))</f>
        <v>120</v>
      </c>
      <c r="CN60" s="3">
        <f t="array" ref="CN60">SUMPRODUCT($J60:$U60,TRANSPOSE(CN$3:CN$14))</f>
        <v>160</v>
      </c>
      <c r="CO60" s="3">
        <f t="array" ref="CO60">SUMPRODUCT($J60:$U60,TRANSPOSE(CO$3:CO$14))</f>
        <v>160</v>
      </c>
      <c r="CP60" s="3">
        <f t="array" ref="CP60">SUMPRODUCT($J60:$U60,TRANSPOSE(CP$3:CP$14))</f>
        <v>160</v>
      </c>
      <c r="CQ60" s="3">
        <f t="array" ref="CQ60">SUMPRODUCT($J60:$U60,TRANSPOSE(CQ$3:CQ$14))</f>
        <v>160</v>
      </c>
      <c r="CR60" s="3">
        <f t="array" ref="CR60">SUMPRODUCT($J60:$U60,TRANSPOSE(CR$3:CR$14))</f>
        <v>80</v>
      </c>
      <c r="CS60" s="3">
        <f t="array" ref="CS60">SUMPRODUCT($J60:$U60,TRANSPOSE(CS$3:CS$14))</f>
        <v>0</v>
      </c>
      <c r="CT60" s="3">
        <f t="array" ref="CT60">SUMPRODUCT($J60:$U60,TRANSPOSE(CT$3:CT$14))</f>
        <v>0</v>
      </c>
      <c r="CU60" s="3">
        <f t="array" ref="CU60">SUMPRODUCT($J60:$U60,TRANSPOSE(CU$3:CU$14))</f>
        <v>0</v>
      </c>
      <c r="CV60" s="3">
        <f t="array" ref="CV60">SUMPRODUCT($J60:$U60,TRANSPOSE(CV$3:CV$14))</f>
        <v>0</v>
      </c>
      <c r="CW60" s="3">
        <f t="array" ref="CW60">SUMPRODUCT($J60:$U60,TRANSPOSE(CW$3:CW$14))</f>
        <v>0</v>
      </c>
      <c r="CX60" s="3">
        <f t="array" ref="CX60">SUMPRODUCT($J60:$U60,TRANSPOSE(CX$3:CX$14))</f>
        <v>0</v>
      </c>
      <c r="CY60" s="3">
        <f t="array" ref="CY60">SUMPRODUCT($J60:$U60,TRANSPOSE(CY$3:CY$14))</f>
        <v>0</v>
      </c>
      <c r="CZ60" s="3">
        <f t="array" ref="CZ60">SUMPRODUCT($J60:$U60,TRANSPOSE(CZ$3:CZ$14))</f>
        <v>0</v>
      </c>
      <c r="DA60" s="3">
        <f t="array" ref="DA60">SUMPRODUCT($J60:$U60,TRANSPOSE(DA$3:DA$14))</f>
        <v>0</v>
      </c>
      <c r="DB60" s="3">
        <f t="array" ref="DB60">SUMPRODUCT($J60:$U60,TRANSPOSE(DB$3:DB$14))</f>
        <v>0</v>
      </c>
      <c r="DC60" s="3">
        <f t="array" ref="DC60">SUMPRODUCT($J60:$U60,TRANSPOSE(DC$3:DC$14))</f>
        <v>0</v>
      </c>
      <c r="DD60" s="3">
        <f t="array" ref="DD60">SUMPRODUCT($J60:$U60,TRANSPOSE(DD$3:DD$14))</f>
        <v>0</v>
      </c>
      <c r="DE60" s="3">
        <f t="array" ref="DE60">SUMPRODUCT($J60:$U60,TRANSPOSE(DE$3:DE$14))</f>
        <v>0</v>
      </c>
    </row>
    <row r="61" spans="1:109" ht="13.5" thickBot="1" x14ac:dyDescent="0.25">
      <c r="A61" s="3">
        <v>91</v>
      </c>
      <c r="B61" s="9" t="s">
        <v>461</v>
      </c>
      <c r="C61" s="3" t="s">
        <v>13</v>
      </c>
      <c r="D61" s="3">
        <v>401380520</v>
      </c>
      <c r="F61" s="3" t="s">
        <v>43</v>
      </c>
      <c r="G61" s="3" t="s">
        <v>14</v>
      </c>
      <c r="H61" s="3">
        <v>1</v>
      </c>
      <c r="I61" s="3">
        <v>2</v>
      </c>
      <c r="J61" s="3">
        <v>0</v>
      </c>
      <c r="K61" s="3">
        <v>1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f t="shared" si="39"/>
        <v>2</v>
      </c>
      <c r="W61" s="3">
        <f t="shared" si="38"/>
        <v>260</v>
      </c>
      <c r="X61" s="8" t="s">
        <v>363</v>
      </c>
      <c r="Y61" s="3">
        <v>7.2</v>
      </c>
      <c r="Z61" s="3" t="s">
        <v>462</v>
      </c>
      <c r="AA61" s="3" t="s">
        <v>463</v>
      </c>
      <c r="AB61" s="3" t="s">
        <v>464</v>
      </c>
      <c r="AC61" s="3" t="s">
        <v>465</v>
      </c>
      <c r="BJ61" s="3">
        <f>SUM($AE61,$AF61:AH61)-SUM($CH61:CK61)</f>
        <v>0</v>
      </c>
      <c r="BK61" s="3">
        <f>SUM($AE61,$AF61:AI61)-SUM($CH61:CL61)</f>
        <v>-20</v>
      </c>
      <c r="BL61" s="3">
        <f>SUM($AE61,$AF61:AJ61)-SUM($CH61:CM61)</f>
        <v>-50</v>
      </c>
      <c r="BM61" s="3">
        <f>SUM($AE61,$AF61:AK61)-SUM($CH61:CN61)</f>
        <v>-80</v>
      </c>
      <c r="BN61" s="3">
        <f>SUM($AE61,$AF61:AL61)-SUM($CH61:CO61)</f>
        <v>-120</v>
      </c>
      <c r="BO61" s="3">
        <f>SUM($AE61,$AF61:AM61)-SUM($CH61:CP61)</f>
        <v>-160</v>
      </c>
      <c r="BP61" s="3">
        <f>SUM($AE61,$AF61:AN61)-SUM($CH61:CQ61)</f>
        <v>-200</v>
      </c>
      <c r="BQ61" s="3">
        <f>SUM($AE61,$AF61:AO61)-SUM($CH61:CR61)</f>
        <v>-240</v>
      </c>
      <c r="BR61" s="3">
        <f>SUM($AE61,$AF61:AP61)-SUM($CH61:CS61)</f>
        <v>-260</v>
      </c>
      <c r="BS61" s="3">
        <f>SUM($AE61,$AF61:AQ61)-SUM($CH61:CT61)</f>
        <v>-260</v>
      </c>
      <c r="BT61" s="3">
        <f>SUM($AE61,$AF61:AR61)-SUM($CH61:CU61)</f>
        <v>-260</v>
      </c>
      <c r="BU61" s="3">
        <f>SUM($AE61,$AF61:AS61)-SUM($CH61:CV61)</f>
        <v>-260</v>
      </c>
      <c r="BV61" s="3">
        <f>SUM($AE61,$AF61:AT61)-SUM($CH61:CW61)</f>
        <v>-260</v>
      </c>
      <c r="BW61" s="3">
        <f>SUM($AE61,$AF61:AU61)-SUM($CH61:CX61)</f>
        <v>-260</v>
      </c>
      <c r="BX61" s="3">
        <f>SUM($AE61,$AF61:AV61)-SUM($CH61:CY61)</f>
        <v>-260</v>
      </c>
      <c r="BY61" s="3">
        <f>SUM($AE61,$AF61:AW61)-SUM($CH61:CZ61)</f>
        <v>-260</v>
      </c>
      <c r="BZ61" s="3">
        <f>SUM($AE61,$AF61:AX61)-SUM($CH61:DA61)</f>
        <v>-260</v>
      </c>
      <c r="CA61" s="3">
        <f>SUM($AE61,$AF61:AY61)-SUM($CH61:DB61)</f>
        <v>-260</v>
      </c>
      <c r="CB61" s="3">
        <f>SUM($AE61,$AF61:AZ61)-SUM($CH61:DC61)</f>
        <v>-260</v>
      </c>
      <c r="CC61" s="3">
        <f>SUM($AE61,$AF61:BA61)-SUM($CH61:DD61)</f>
        <v>-260</v>
      </c>
      <c r="CI61" s="3">
        <f t="array" ref="CI61">SUMPRODUCT($J61:$U61,TRANSPOSE(CI$3:CI$14))</f>
        <v>0</v>
      </c>
      <c r="CJ61" s="3">
        <f t="array" ref="CJ61">SUMPRODUCT($J61:$U61,TRANSPOSE(CJ$3:CJ$14))</f>
        <v>0</v>
      </c>
      <c r="CK61" s="3">
        <f t="array" ref="CK61">SUMPRODUCT($J61:$U61,TRANSPOSE(CK$3:CK$14))</f>
        <v>0</v>
      </c>
      <c r="CL61" s="3">
        <f t="array" ref="CL61">SUMPRODUCT($J61:$U61,TRANSPOSE(CL$3:CL$14))</f>
        <v>20</v>
      </c>
      <c r="CM61" s="3">
        <f t="array" ref="CM61">SUMPRODUCT($J61:$U61,TRANSPOSE(CM$3:CM$14))</f>
        <v>30</v>
      </c>
      <c r="CN61" s="3">
        <f t="array" ref="CN61">SUMPRODUCT($J61:$U61,TRANSPOSE(CN$3:CN$14))</f>
        <v>30</v>
      </c>
      <c r="CO61" s="3">
        <f t="array" ref="CO61">SUMPRODUCT($J61:$U61,TRANSPOSE(CO$3:CO$14))</f>
        <v>40</v>
      </c>
      <c r="CP61" s="3">
        <f t="array" ref="CP61">SUMPRODUCT($J61:$U61,TRANSPOSE(CP$3:CP$14))</f>
        <v>40</v>
      </c>
      <c r="CQ61" s="3">
        <f t="array" ref="CQ61">SUMPRODUCT($J61:$U61,TRANSPOSE(CQ$3:CQ$14))</f>
        <v>40</v>
      </c>
      <c r="CR61" s="3">
        <f t="array" ref="CR61">SUMPRODUCT($J61:$U61,TRANSPOSE(CR$3:CR$14))</f>
        <v>40</v>
      </c>
      <c r="CS61" s="3">
        <f t="array" ref="CS61">SUMPRODUCT($J61:$U61,TRANSPOSE(CS$3:CS$14))</f>
        <v>20</v>
      </c>
      <c r="CT61" s="3">
        <f t="array" ref="CT61">SUMPRODUCT($J61:$U61,TRANSPOSE(CT$3:CT$14))</f>
        <v>0</v>
      </c>
      <c r="CU61" s="3">
        <f t="array" ref="CU61">SUMPRODUCT($J61:$U61,TRANSPOSE(CU$3:CU$14))</f>
        <v>0</v>
      </c>
      <c r="CV61" s="3">
        <f t="array" ref="CV61">SUMPRODUCT($J61:$U61,TRANSPOSE(CV$3:CV$14))</f>
        <v>0</v>
      </c>
      <c r="CW61" s="3">
        <f t="array" ref="CW61">SUMPRODUCT($J61:$U61,TRANSPOSE(CW$3:CW$14))</f>
        <v>0</v>
      </c>
      <c r="CX61" s="3">
        <f t="array" ref="CX61">SUMPRODUCT($J61:$U61,TRANSPOSE(CX$3:CX$14))</f>
        <v>0</v>
      </c>
      <c r="CY61" s="3">
        <f t="array" ref="CY61">SUMPRODUCT($J61:$U61,TRANSPOSE(CY$3:CY$14))</f>
        <v>0</v>
      </c>
      <c r="CZ61" s="3">
        <f t="array" ref="CZ61">SUMPRODUCT($J61:$U61,TRANSPOSE(CZ$3:CZ$14))</f>
        <v>0</v>
      </c>
      <c r="DA61" s="3">
        <f t="array" ref="DA61">SUMPRODUCT($J61:$U61,TRANSPOSE(DA$3:DA$14))</f>
        <v>0</v>
      </c>
      <c r="DB61" s="3">
        <f t="array" ref="DB61">SUMPRODUCT($J61:$U61,TRANSPOSE(DB$3:DB$14))</f>
        <v>0</v>
      </c>
      <c r="DC61" s="3">
        <f t="array" ref="DC61">SUMPRODUCT($J61:$U61,TRANSPOSE(DC$3:DC$14))</f>
        <v>0</v>
      </c>
      <c r="DD61" s="3">
        <f t="array" ref="DD61">SUMPRODUCT($J61:$U61,TRANSPOSE(DD$3:DD$14))</f>
        <v>0</v>
      </c>
      <c r="DE61" s="3">
        <f t="array" ref="DE61">SUMPRODUCT($J61:$U61,TRANSPOSE(DE$3:DE$14))</f>
        <v>0</v>
      </c>
    </row>
    <row r="62" spans="1:109" ht="13.5" thickBot="1" x14ac:dyDescent="0.25">
      <c r="A62" s="3">
        <v>92</v>
      </c>
      <c r="B62" s="9" t="s">
        <v>353</v>
      </c>
      <c r="C62" s="3">
        <v>-1</v>
      </c>
      <c r="D62" s="3">
        <v>401562293</v>
      </c>
      <c r="F62" s="3" t="s">
        <v>466</v>
      </c>
      <c r="G62" s="3" t="s">
        <v>14</v>
      </c>
      <c r="H62" s="3">
        <v>1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f t="shared" si="39"/>
        <v>1</v>
      </c>
      <c r="W62" s="3">
        <f t="shared" si="38"/>
        <v>142</v>
      </c>
      <c r="X62" s="8" t="s">
        <v>15</v>
      </c>
      <c r="Z62" s="3" t="s">
        <v>15</v>
      </c>
      <c r="BJ62" s="3">
        <f>SUM($AE62,$AF62:AH62)-SUM($CH62:CK62)</f>
        <v>0</v>
      </c>
      <c r="BK62" s="3">
        <f>SUM($AE62,$AF62:AI62)-SUM($CH62:CL62)</f>
        <v>-10</v>
      </c>
      <c r="BL62" s="3">
        <f>SUM($AE62,$AF62:AJ62)-SUM($CH62:CM62)</f>
        <v>-25</v>
      </c>
      <c r="BM62" s="3">
        <f>SUM($AE62,$AF62:AK62)-SUM($CH62:CN62)</f>
        <v>-42</v>
      </c>
      <c r="BN62" s="3">
        <f>SUM($AE62,$AF62:AL62)-SUM($CH62:CO62)</f>
        <v>-62</v>
      </c>
      <c r="BO62" s="3">
        <f>SUM($AE62,$AF62:AM62)-SUM($CH62:CP62)</f>
        <v>-82</v>
      </c>
      <c r="BP62" s="3">
        <f>SUM($AE62,$AF62:AN62)-SUM($CH62:CQ62)</f>
        <v>-102</v>
      </c>
      <c r="BQ62" s="3">
        <f>SUM($AE62,$AF62:AO62)-SUM($CH62:CR62)</f>
        <v>-122</v>
      </c>
      <c r="BR62" s="3">
        <f>SUM($AE62,$AF62:AP62)-SUM($CH62:CS62)</f>
        <v>-142</v>
      </c>
      <c r="BS62" s="3">
        <f>SUM($AE62,$AF62:AQ62)-SUM($CH62:CT62)</f>
        <v>-142</v>
      </c>
      <c r="BT62" s="3">
        <f>SUM($AE62,$AF62:AR62)-SUM($CH62:CU62)</f>
        <v>-142</v>
      </c>
      <c r="BU62" s="3">
        <f>SUM($AE62,$AF62:AS62)-SUM($CH62:CV62)</f>
        <v>-142</v>
      </c>
      <c r="BV62" s="3">
        <f>SUM($AE62,$AF62:AT62)-SUM($CH62:CW62)</f>
        <v>-142</v>
      </c>
      <c r="BW62" s="3">
        <f>SUM($AE62,$AF62:AU62)-SUM($CH62:CX62)</f>
        <v>-142</v>
      </c>
      <c r="BX62" s="3">
        <f>SUM($AE62,$AF62:AV62)-SUM($CH62:CY62)</f>
        <v>-142</v>
      </c>
      <c r="BY62" s="3">
        <f>SUM($AE62,$AF62:AW62)-SUM($CH62:CZ62)</f>
        <v>-142</v>
      </c>
      <c r="BZ62" s="3">
        <f>SUM($AE62,$AF62:AX62)-SUM($CH62:DA62)</f>
        <v>-142</v>
      </c>
      <c r="CA62" s="3">
        <f>SUM($AE62,$AF62:AY62)-SUM($CH62:DB62)</f>
        <v>-142</v>
      </c>
      <c r="CB62" s="3">
        <f>SUM($AE62,$AF62:AZ62)-SUM($CH62:DC62)</f>
        <v>-142</v>
      </c>
      <c r="CC62" s="3">
        <f>SUM($AE62,$AF62:BA62)-SUM($CH62:DD62)</f>
        <v>-142</v>
      </c>
      <c r="CI62" s="3">
        <f t="array" ref="CI62">SUMPRODUCT($J62:$U62,TRANSPOSE(CI$3:CI$14))</f>
        <v>0</v>
      </c>
      <c r="CJ62" s="3">
        <f t="array" ref="CJ62">SUMPRODUCT($J62:$U62,TRANSPOSE(CJ$3:CJ$14))</f>
        <v>0</v>
      </c>
      <c r="CK62" s="3">
        <f t="array" ref="CK62">SUMPRODUCT($J62:$U62,TRANSPOSE(CK$3:CK$14))</f>
        <v>0</v>
      </c>
      <c r="CL62" s="3">
        <f t="array" ref="CL62">SUMPRODUCT($J62:$U62,TRANSPOSE(CL$3:CL$14))</f>
        <v>10</v>
      </c>
      <c r="CM62" s="3">
        <f t="array" ref="CM62">SUMPRODUCT($J62:$U62,TRANSPOSE(CM$3:CM$14))</f>
        <v>15</v>
      </c>
      <c r="CN62" s="3">
        <f t="array" ref="CN62">SUMPRODUCT($J62:$U62,TRANSPOSE(CN$3:CN$14))</f>
        <v>17</v>
      </c>
      <c r="CO62" s="3">
        <f t="array" ref="CO62">SUMPRODUCT($J62:$U62,TRANSPOSE(CO$3:CO$14))</f>
        <v>20</v>
      </c>
      <c r="CP62" s="3">
        <f t="array" ref="CP62">SUMPRODUCT($J62:$U62,TRANSPOSE(CP$3:CP$14))</f>
        <v>20</v>
      </c>
      <c r="CQ62" s="3">
        <f t="array" ref="CQ62">SUMPRODUCT($J62:$U62,TRANSPOSE(CQ$3:CQ$14))</f>
        <v>20</v>
      </c>
      <c r="CR62" s="3">
        <f t="array" ref="CR62">SUMPRODUCT($J62:$U62,TRANSPOSE(CR$3:CR$14))</f>
        <v>20</v>
      </c>
      <c r="CS62" s="3">
        <f t="array" ref="CS62">SUMPRODUCT($J62:$U62,TRANSPOSE(CS$3:CS$14))</f>
        <v>20</v>
      </c>
      <c r="CT62" s="3">
        <f t="array" ref="CT62">SUMPRODUCT($J62:$U62,TRANSPOSE(CT$3:CT$14))</f>
        <v>0</v>
      </c>
      <c r="CU62" s="3">
        <f t="array" ref="CU62">SUMPRODUCT($J62:$U62,TRANSPOSE(CU$3:CU$14))</f>
        <v>0</v>
      </c>
      <c r="CV62" s="3">
        <f t="array" ref="CV62">SUMPRODUCT($J62:$U62,TRANSPOSE(CV$3:CV$14))</f>
        <v>0</v>
      </c>
      <c r="CW62" s="3">
        <f t="array" ref="CW62">SUMPRODUCT($J62:$U62,TRANSPOSE(CW$3:CW$14))</f>
        <v>0</v>
      </c>
      <c r="CX62" s="3">
        <f t="array" ref="CX62">SUMPRODUCT($J62:$U62,TRANSPOSE(CX$3:CX$14))</f>
        <v>0</v>
      </c>
      <c r="CY62" s="3">
        <f t="array" ref="CY62">SUMPRODUCT($J62:$U62,TRANSPOSE(CY$3:CY$14))</f>
        <v>0</v>
      </c>
      <c r="CZ62" s="3">
        <f t="array" ref="CZ62">SUMPRODUCT($J62:$U62,TRANSPOSE(CZ$3:CZ$14))</f>
        <v>0</v>
      </c>
      <c r="DA62" s="3">
        <f t="array" ref="DA62">SUMPRODUCT($J62:$U62,TRANSPOSE(DA$3:DA$14))</f>
        <v>0</v>
      </c>
      <c r="DB62" s="3">
        <f t="array" ref="DB62">SUMPRODUCT($J62:$U62,TRANSPOSE(DB$3:DB$14))</f>
        <v>0</v>
      </c>
      <c r="DC62" s="3">
        <f t="array" ref="DC62">SUMPRODUCT($J62:$U62,TRANSPOSE(DC$3:DC$14))</f>
        <v>0</v>
      </c>
      <c r="DD62" s="3">
        <f t="array" ref="DD62">SUMPRODUCT($J62:$U62,TRANSPOSE(DD$3:DD$14))</f>
        <v>0</v>
      </c>
      <c r="DE62" s="3">
        <f t="array" ref="DE62">SUMPRODUCT($J62:$U62,TRANSPOSE(DE$3:DE$14))</f>
        <v>0</v>
      </c>
    </row>
    <row r="63" spans="1:109" ht="13.5" thickBot="1" x14ac:dyDescent="0.25">
      <c r="A63" s="3">
        <v>93</v>
      </c>
      <c r="B63" s="9" t="s">
        <v>467</v>
      </c>
      <c r="C63" s="3" t="s">
        <v>48</v>
      </c>
      <c r="D63" s="3">
        <v>401558814</v>
      </c>
      <c r="F63" s="3" t="s">
        <v>468</v>
      </c>
      <c r="G63" s="3" t="s">
        <v>14</v>
      </c>
      <c r="H63" s="3">
        <v>1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f t="shared" si="39"/>
        <v>1</v>
      </c>
      <c r="W63" s="3">
        <f t="shared" si="38"/>
        <v>142</v>
      </c>
      <c r="X63" s="8" t="s">
        <v>363</v>
      </c>
      <c r="BJ63" s="3">
        <f>SUM($AE63,$AF63:AH63)-SUM($CH63:CK63)</f>
        <v>-10</v>
      </c>
      <c r="BK63" s="3">
        <f>SUM($AE63,$AF63:AI63)-SUM($CH63:CL63)</f>
        <v>-25</v>
      </c>
      <c r="BL63" s="3">
        <f>SUM($AE63,$AF63:AJ63)-SUM($CH63:CM63)</f>
        <v>-42</v>
      </c>
      <c r="BM63" s="3">
        <f>SUM($AE63,$AF63:AK63)-SUM($CH63:CN63)</f>
        <v>-62</v>
      </c>
      <c r="BN63" s="3">
        <f>SUM($AE63,$AF63:AL63)-SUM($CH63:CO63)</f>
        <v>-82</v>
      </c>
      <c r="BO63" s="3">
        <f>SUM($AE63,$AF63:AM63)-SUM($CH63:CP63)</f>
        <v>-102</v>
      </c>
      <c r="BP63" s="3">
        <f>SUM($AE63,$AF63:AN63)-SUM($CH63:CQ63)</f>
        <v>-122</v>
      </c>
      <c r="BQ63" s="3">
        <f>SUM($AE63,$AF63:AO63)-SUM($CH63:CR63)</f>
        <v>-142</v>
      </c>
      <c r="BR63" s="3">
        <f>SUM($AE63,$AF63:AP63)-SUM($CH63:CS63)</f>
        <v>-142</v>
      </c>
      <c r="BS63" s="3">
        <f>SUM($AE63,$AF63:AQ63)-SUM($CH63:CT63)</f>
        <v>-142</v>
      </c>
      <c r="BT63" s="3">
        <f>SUM($AE63,$AF63:AR63)-SUM($CH63:CU63)</f>
        <v>-142</v>
      </c>
      <c r="BU63" s="3">
        <f>SUM($AE63,$AF63:AS63)-SUM($CH63:CV63)</f>
        <v>-142</v>
      </c>
      <c r="BV63" s="3">
        <f>SUM($AE63,$AF63:AT63)-SUM($CH63:CW63)</f>
        <v>-142</v>
      </c>
      <c r="BW63" s="3">
        <f>SUM($AE63,$AF63:AU63)-SUM($CH63:CX63)</f>
        <v>-142</v>
      </c>
      <c r="BX63" s="3">
        <f>SUM($AE63,$AF63:AV63)-SUM($CH63:CY63)</f>
        <v>-142</v>
      </c>
      <c r="BY63" s="3">
        <f>SUM($AE63,$AF63:AW63)-SUM($CH63:CZ63)</f>
        <v>-142</v>
      </c>
      <c r="BZ63" s="3">
        <f>SUM($AE63,$AF63:AX63)-SUM($CH63:DA63)</f>
        <v>-142</v>
      </c>
      <c r="CA63" s="3">
        <f>SUM($AE63,$AF63:AY63)-SUM($CH63:DB63)</f>
        <v>-142</v>
      </c>
      <c r="CB63" s="3">
        <f>SUM($AE63,$AF63:AZ63)-SUM($CH63:DC63)</f>
        <v>-142</v>
      </c>
      <c r="CC63" s="3">
        <f>SUM($AE63,$AF63:BA63)-SUM($CH63:DD63)</f>
        <v>-142</v>
      </c>
      <c r="CI63" s="3">
        <f t="array" ref="CI63">SUMPRODUCT($J63:$U63,TRANSPOSE(CI$3:CI$14))</f>
        <v>0</v>
      </c>
      <c r="CJ63" s="3">
        <f t="array" ref="CJ63">SUMPRODUCT($J63:$U63,TRANSPOSE(CJ$3:CJ$14))</f>
        <v>0</v>
      </c>
      <c r="CK63" s="3">
        <f t="array" ref="CK63">SUMPRODUCT($J63:$U63,TRANSPOSE(CK$3:CK$14))</f>
        <v>10</v>
      </c>
      <c r="CL63" s="3">
        <f t="array" ref="CL63">SUMPRODUCT($J63:$U63,TRANSPOSE(CL$3:CL$14))</f>
        <v>15</v>
      </c>
      <c r="CM63" s="3">
        <f t="array" ref="CM63">SUMPRODUCT($J63:$U63,TRANSPOSE(CM$3:CM$14))</f>
        <v>17</v>
      </c>
      <c r="CN63" s="3">
        <f t="array" ref="CN63">SUMPRODUCT($J63:$U63,TRANSPOSE(CN$3:CN$14))</f>
        <v>20</v>
      </c>
      <c r="CO63" s="3">
        <f t="array" ref="CO63">SUMPRODUCT($J63:$U63,TRANSPOSE(CO$3:CO$14))</f>
        <v>20</v>
      </c>
      <c r="CP63" s="3">
        <f t="array" ref="CP63">SUMPRODUCT($J63:$U63,TRANSPOSE(CP$3:CP$14))</f>
        <v>20</v>
      </c>
      <c r="CQ63" s="3">
        <f t="array" ref="CQ63">SUMPRODUCT($J63:$U63,TRANSPOSE(CQ$3:CQ$14))</f>
        <v>20</v>
      </c>
      <c r="CR63" s="3">
        <f t="array" ref="CR63">SUMPRODUCT($J63:$U63,TRANSPOSE(CR$3:CR$14))</f>
        <v>20</v>
      </c>
      <c r="CS63" s="3">
        <f t="array" ref="CS63">SUMPRODUCT($J63:$U63,TRANSPOSE(CS$3:CS$14))</f>
        <v>0</v>
      </c>
      <c r="CT63" s="3">
        <f t="array" ref="CT63">SUMPRODUCT($J63:$U63,TRANSPOSE(CT$3:CT$14))</f>
        <v>0</v>
      </c>
      <c r="CU63" s="3">
        <f t="array" ref="CU63">SUMPRODUCT($J63:$U63,TRANSPOSE(CU$3:CU$14))</f>
        <v>0</v>
      </c>
      <c r="CV63" s="3">
        <f t="array" ref="CV63">SUMPRODUCT($J63:$U63,TRANSPOSE(CV$3:CV$14))</f>
        <v>0</v>
      </c>
      <c r="CW63" s="3">
        <f t="array" ref="CW63">SUMPRODUCT($J63:$U63,TRANSPOSE(CW$3:CW$14))</f>
        <v>0</v>
      </c>
      <c r="CX63" s="3">
        <f t="array" ref="CX63">SUMPRODUCT($J63:$U63,TRANSPOSE(CX$3:CX$14))</f>
        <v>0</v>
      </c>
      <c r="CY63" s="3">
        <f t="array" ref="CY63">SUMPRODUCT($J63:$U63,TRANSPOSE(CY$3:CY$14))</f>
        <v>0</v>
      </c>
      <c r="CZ63" s="3">
        <f t="array" ref="CZ63">SUMPRODUCT($J63:$U63,TRANSPOSE(CZ$3:CZ$14))</f>
        <v>0</v>
      </c>
      <c r="DA63" s="3">
        <f t="array" ref="DA63">SUMPRODUCT($J63:$U63,TRANSPOSE(DA$3:DA$14))</f>
        <v>0</v>
      </c>
      <c r="DB63" s="3">
        <f t="array" ref="DB63">SUMPRODUCT($J63:$U63,TRANSPOSE(DB$3:DB$14))</f>
        <v>0</v>
      </c>
      <c r="DC63" s="3">
        <f t="array" ref="DC63">SUMPRODUCT($J63:$U63,TRANSPOSE(DC$3:DC$14))</f>
        <v>0</v>
      </c>
      <c r="DD63" s="3">
        <f t="array" ref="DD63">SUMPRODUCT($J63:$U63,TRANSPOSE(DD$3:DD$14))</f>
        <v>0</v>
      </c>
      <c r="DE63" s="3">
        <f t="array" ref="DE63">SUMPRODUCT($J63:$U63,TRANSPOSE(DE$3:DE$14))</f>
        <v>0</v>
      </c>
    </row>
    <row r="64" spans="1:109" ht="13.5" thickBot="1" x14ac:dyDescent="0.25">
      <c r="A64" s="3">
        <v>94</v>
      </c>
      <c r="B64" s="9" t="s">
        <v>469</v>
      </c>
      <c r="C64" s="3" t="s">
        <v>13</v>
      </c>
      <c r="D64" s="3">
        <v>401415923</v>
      </c>
      <c r="F64" s="3" t="s">
        <v>470</v>
      </c>
      <c r="G64" s="3" t="s">
        <v>14</v>
      </c>
      <c r="H64" s="3">
        <v>1</v>
      </c>
      <c r="I64" s="3">
        <v>4</v>
      </c>
      <c r="J64" s="3">
        <v>0</v>
      </c>
      <c r="K64" s="3">
        <v>2</v>
      </c>
      <c r="L64" s="3">
        <v>0</v>
      </c>
      <c r="M64" s="3">
        <v>0</v>
      </c>
      <c r="N64" s="3">
        <v>2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f t="shared" si="39"/>
        <v>4</v>
      </c>
      <c r="W64" s="3">
        <f t="shared" si="38"/>
        <v>520</v>
      </c>
      <c r="X64" s="8" t="s">
        <v>363</v>
      </c>
      <c r="Y64" s="3">
        <v>0.98</v>
      </c>
      <c r="Z64" s="3" t="s">
        <v>364</v>
      </c>
      <c r="AA64" s="3" t="s">
        <v>365</v>
      </c>
      <c r="AB64" s="3" t="s">
        <v>366</v>
      </c>
      <c r="AC64" s="3" t="s">
        <v>367</v>
      </c>
      <c r="BJ64" s="3">
        <f>SUM($AE64,$AF64:AH64)-SUM($CH64:CK64)</f>
        <v>0</v>
      </c>
      <c r="BK64" s="3">
        <f>SUM($AE64,$AF64:AI64)-SUM($CH64:CL64)</f>
        <v>-40</v>
      </c>
      <c r="BL64" s="3">
        <f>SUM($AE64,$AF64:AJ64)-SUM($CH64:CM64)</f>
        <v>-100</v>
      </c>
      <c r="BM64" s="3">
        <f>SUM($AE64,$AF64:AK64)-SUM($CH64:CN64)</f>
        <v>-160</v>
      </c>
      <c r="BN64" s="3">
        <f>SUM($AE64,$AF64:AL64)-SUM($CH64:CO64)</f>
        <v>-240</v>
      </c>
      <c r="BO64" s="3">
        <f>SUM($AE64,$AF64:AM64)-SUM($CH64:CP64)</f>
        <v>-320</v>
      </c>
      <c r="BP64" s="3">
        <f>SUM($AE64,$AF64:AN64)-SUM($CH64:CQ64)</f>
        <v>-400</v>
      </c>
      <c r="BQ64" s="3">
        <f>SUM($AE64,$AF64:AO64)-SUM($CH64:CR64)</f>
        <v>-480</v>
      </c>
      <c r="BR64" s="3">
        <f>SUM($AE64,$AF64:AP64)-SUM($CH64:CS64)</f>
        <v>-520</v>
      </c>
      <c r="BS64" s="3">
        <f>SUM($AE64,$AF64:AQ64)-SUM($CH64:CT64)</f>
        <v>-520</v>
      </c>
      <c r="BT64" s="3">
        <f>SUM($AE64,$AF64:AR64)-SUM($CH64:CU64)</f>
        <v>-520</v>
      </c>
      <c r="BU64" s="3">
        <f>SUM($AE64,$AF64:AS64)-SUM($CH64:CV64)</f>
        <v>-520</v>
      </c>
      <c r="BV64" s="3">
        <f>SUM($AE64,$AF64:AT64)-SUM($CH64:CW64)</f>
        <v>-520</v>
      </c>
      <c r="BW64" s="3">
        <f>SUM($AE64,$AF64:AU64)-SUM($CH64:CX64)</f>
        <v>-520</v>
      </c>
      <c r="BX64" s="3">
        <f>SUM($AE64,$AF64:AV64)-SUM($CH64:CY64)</f>
        <v>-520</v>
      </c>
      <c r="BY64" s="3">
        <f>SUM($AE64,$AF64:AW64)-SUM($CH64:CZ64)</f>
        <v>-520</v>
      </c>
      <c r="BZ64" s="3">
        <f>SUM($AE64,$AF64:AX64)-SUM($CH64:DA64)</f>
        <v>-520</v>
      </c>
      <c r="CA64" s="3">
        <f>SUM($AE64,$AF64:AY64)-SUM($CH64:DB64)</f>
        <v>-520</v>
      </c>
      <c r="CB64" s="3">
        <f>SUM($AE64,$AF64:AZ64)-SUM($CH64:DC64)</f>
        <v>-520</v>
      </c>
      <c r="CC64" s="3">
        <f>SUM($AE64,$AF64:BA64)-SUM($CH64:DD64)</f>
        <v>-520</v>
      </c>
      <c r="CI64" s="3">
        <f t="array" ref="CI64">SUMPRODUCT($J64:$U64,TRANSPOSE(CI$3:CI$14))</f>
        <v>0</v>
      </c>
      <c r="CJ64" s="3">
        <f t="array" ref="CJ64">SUMPRODUCT($J64:$U64,TRANSPOSE(CJ$3:CJ$14))</f>
        <v>0</v>
      </c>
      <c r="CK64" s="3">
        <f t="array" ref="CK64">SUMPRODUCT($J64:$U64,TRANSPOSE(CK$3:CK$14))</f>
        <v>0</v>
      </c>
      <c r="CL64" s="3">
        <f t="array" ref="CL64">SUMPRODUCT($J64:$U64,TRANSPOSE(CL$3:CL$14))</f>
        <v>40</v>
      </c>
      <c r="CM64" s="3">
        <f t="array" ref="CM64">SUMPRODUCT($J64:$U64,TRANSPOSE(CM$3:CM$14))</f>
        <v>60</v>
      </c>
      <c r="CN64" s="3">
        <f t="array" ref="CN64">SUMPRODUCT($J64:$U64,TRANSPOSE(CN$3:CN$14))</f>
        <v>60</v>
      </c>
      <c r="CO64" s="3">
        <f t="array" ref="CO64">SUMPRODUCT($J64:$U64,TRANSPOSE(CO$3:CO$14))</f>
        <v>80</v>
      </c>
      <c r="CP64" s="3">
        <f t="array" ref="CP64">SUMPRODUCT($J64:$U64,TRANSPOSE(CP$3:CP$14))</f>
        <v>80</v>
      </c>
      <c r="CQ64" s="3">
        <f t="array" ref="CQ64">SUMPRODUCT($J64:$U64,TRANSPOSE(CQ$3:CQ$14))</f>
        <v>80</v>
      </c>
      <c r="CR64" s="3">
        <f t="array" ref="CR64">SUMPRODUCT($J64:$U64,TRANSPOSE(CR$3:CR$14))</f>
        <v>80</v>
      </c>
      <c r="CS64" s="3">
        <f t="array" ref="CS64">SUMPRODUCT($J64:$U64,TRANSPOSE(CS$3:CS$14))</f>
        <v>40</v>
      </c>
      <c r="CT64" s="3">
        <f t="array" ref="CT64">SUMPRODUCT($J64:$U64,TRANSPOSE(CT$3:CT$14))</f>
        <v>0</v>
      </c>
      <c r="CU64" s="3">
        <f t="array" ref="CU64">SUMPRODUCT($J64:$U64,TRANSPOSE(CU$3:CU$14))</f>
        <v>0</v>
      </c>
      <c r="CV64" s="3">
        <f t="array" ref="CV64">SUMPRODUCT($J64:$U64,TRANSPOSE(CV$3:CV$14))</f>
        <v>0</v>
      </c>
      <c r="CW64" s="3">
        <f t="array" ref="CW64">SUMPRODUCT($J64:$U64,TRANSPOSE(CW$3:CW$14))</f>
        <v>0</v>
      </c>
      <c r="CX64" s="3">
        <f t="array" ref="CX64">SUMPRODUCT($J64:$U64,TRANSPOSE(CX$3:CX$14))</f>
        <v>0</v>
      </c>
      <c r="CY64" s="3">
        <f t="array" ref="CY64">SUMPRODUCT($J64:$U64,TRANSPOSE(CY$3:CY$14))</f>
        <v>0</v>
      </c>
      <c r="CZ64" s="3">
        <f t="array" ref="CZ64">SUMPRODUCT($J64:$U64,TRANSPOSE(CZ$3:CZ$14))</f>
        <v>0</v>
      </c>
      <c r="DA64" s="3">
        <f t="array" ref="DA64">SUMPRODUCT($J64:$U64,TRANSPOSE(DA$3:DA$14))</f>
        <v>0</v>
      </c>
      <c r="DB64" s="3">
        <f t="array" ref="DB64">SUMPRODUCT($J64:$U64,TRANSPOSE(DB$3:DB$14))</f>
        <v>0</v>
      </c>
      <c r="DC64" s="3">
        <f t="array" ref="DC64">SUMPRODUCT($J64:$U64,TRANSPOSE(DC$3:DC$14))</f>
        <v>0</v>
      </c>
      <c r="DD64" s="3">
        <f t="array" ref="DD64">SUMPRODUCT($J64:$U64,TRANSPOSE(DD$3:DD$14))</f>
        <v>0</v>
      </c>
      <c r="DE64" s="3">
        <f t="array" ref="DE64">SUMPRODUCT($J64:$U64,TRANSPOSE(DE$3:DE$14))</f>
        <v>0</v>
      </c>
    </row>
    <row r="65" spans="1:109" ht="13.5" thickBot="1" x14ac:dyDescent="0.25">
      <c r="A65" s="3">
        <v>97</v>
      </c>
      <c r="B65" s="9" t="s">
        <v>471</v>
      </c>
      <c r="C65" s="3" t="s">
        <v>48</v>
      </c>
      <c r="D65" s="3">
        <v>401401891</v>
      </c>
      <c r="F65" s="3" t="s">
        <v>472</v>
      </c>
      <c r="G65" s="3" t="s">
        <v>14</v>
      </c>
      <c r="H65" s="3">
        <v>1</v>
      </c>
      <c r="I65" s="3">
        <v>1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f t="shared" si="39"/>
        <v>1</v>
      </c>
      <c r="W65" s="3">
        <f t="shared" si="38"/>
        <v>130</v>
      </c>
      <c r="X65" s="8" t="s">
        <v>363</v>
      </c>
      <c r="Y65" s="3">
        <v>2.7</v>
      </c>
      <c r="Z65" s="3" t="s">
        <v>51</v>
      </c>
      <c r="AA65" s="3" t="s">
        <v>52</v>
      </c>
      <c r="AB65" s="3" t="s">
        <v>53</v>
      </c>
      <c r="AC65" s="3" t="s">
        <v>54</v>
      </c>
      <c r="BJ65" s="3">
        <f>SUM($AE65,$AF65:AH65)-SUM($CH65:CK65)</f>
        <v>0</v>
      </c>
      <c r="BK65" s="3">
        <f>SUM($AE65,$AF65:AI65)-SUM($CH65:CL65)</f>
        <v>0</v>
      </c>
      <c r="BL65" s="3">
        <f>SUM($AE65,$AF65:AJ65)-SUM($CH65:CM65)</f>
        <v>-10</v>
      </c>
      <c r="BM65" s="3">
        <f>SUM($AE65,$AF65:AK65)-SUM($CH65:CN65)</f>
        <v>-25</v>
      </c>
      <c r="BN65" s="3">
        <f>SUM($AE65,$AF65:AL65)-SUM($CH65:CO65)</f>
        <v>-40</v>
      </c>
      <c r="BO65" s="3">
        <f>SUM($AE65,$AF65:AM65)-SUM($CH65:CP65)</f>
        <v>-60</v>
      </c>
      <c r="BP65" s="3">
        <f>SUM($AE65,$AF65:AN65)-SUM($CH65:CQ65)</f>
        <v>-80</v>
      </c>
      <c r="BQ65" s="3">
        <f>SUM($AE65,$AF65:AO65)-SUM($CH65:CR65)</f>
        <v>-100</v>
      </c>
      <c r="BR65" s="3">
        <f>SUM($AE65,$AF65:AP65)-SUM($CH65:CS65)</f>
        <v>-120</v>
      </c>
      <c r="BS65" s="3">
        <f>SUM($AE65,$AF65:AQ65)-SUM($CH65:CT65)</f>
        <v>-130</v>
      </c>
      <c r="BT65" s="3">
        <f>SUM($AE65,$AF65:AR65)-SUM($CH65:CU65)</f>
        <v>-130</v>
      </c>
      <c r="BU65" s="3">
        <f>SUM($AE65,$AF65:AS65)-SUM($CH65:CV65)</f>
        <v>-130</v>
      </c>
      <c r="BV65" s="3">
        <f>SUM($AE65,$AF65:AT65)-SUM($CH65:CW65)</f>
        <v>-130</v>
      </c>
      <c r="BW65" s="3">
        <f>SUM($AE65,$AF65:AU65)-SUM($CH65:CX65)</f>
        <v>-130</v>
      </c>
      <c r="BX65" s="3">
        <f>SUM($AE65,$AF65:AV65)-SUM($CH65:CY65)</f>
        <v>-130</v>
      </c>
      <c r="BY65" s="3">
        <f>SUM($AE65,$AF65:AW65)-SUM($CH65:CZ65)</f>
        <v>-130</v>
      </c>
      <c r="BZ65" s="3">
        <f>SUM($AE65,$AF65:AX65)-SUM($CH65:DA65)</f>
        <v>-130</v>
      </c>
      <c r="CA65" s="3">
        <f>SUM($AE65,$AF65:AY65)-SUM($CH65:DB65)</f>
        <v>-130</v>
      </c>
      <c r="CB65" s="3">
        <f>SUM($AE65,$AF65:AZ65)-SUM($CH65:DC65)</f>
        <v>-130</v>
      </c>
      <c r="CC65" s="3">
        <f>SUM($AE65,$AF65:BA65)-SUM($CH65:DD65)</f>
        <v>-130</v>
      </c>
      <c r="CI65" s="3">
        <f t="array" ref="CI65">SUMPRODUCT($J65:$U65,TRANSPOSE(CI$3:CI$14))</f>
        <v>0</v>
      </c>
      <c r="CJ65" s="3">
        <f t="array" ref="CJ65">SUMPRODUCT($J65:$U65,TRANSPOSE(CJ$3:CJ$14))</f>
        <v>0</v>
      </c>
      <c r="CK65" s="3">
        <f t="array" ref="CK65">SUMPRODUCT($J65:$U65,TRANSPOSE(CK$3:CK$14))</f>
        <v>0</v>
      </c>
      <c r="CL65" s="3">
        <f t="array" ref="CL65">SUMPRODUCT($J65:$U65,TRANSPOSE(CL$3:CL$14))</f>
        <v>0</v>
      </c>
      <c r="CM65" s="3">
        <f t="array" ref="CM65">SUMPRODUCT($J65:$U65,TRANSPOSE(CM$3:CM$14))</f>
        <v>10</v>
      </c>
      <c r="CN65" s="3">
        <f t="array" ref="CN65">SUMPRODUCT($J65:$U65,TRANSPOSE(CN$3:CN$14))</f>
        <v>15</v>
      </c>
      <c r="CO65" s="3">
        <f t="array" ref="CO65">SUMPRODUCT($J65:$U65,TRANSPOSE(CO$3:CO$14))</f>
        <v>15</v>
      </c>
      <c r="CP65" s="3">
        <f t="array" ref="CP65">SUMPRODUCT($J65:$U65,TRANSPOSE(CP$3:CP$14))</f>
        <v>20</v>
      </c>
      <c r="CQ65" s="3">
        <f t="array" ref="CQ65">SUMPRODUCT($J65:$U65,TRANSPOSE(CQ$3:CQ$14))</f>
        <v>20</v>
      </c>
      <c r="CR65" s="3">
        <f t="array" ref="CR65">SUMPRODUCT($J65:$U65,TRANSPOSE(CR$3:CR$14))</f>
        <v>20</v>
      </c>
      <c r="CS65" s="3">
        <f t="array" ref="CS65">SUMPRODUCT($J65:$U65,TRANSPOSE(CS$3:CS$14))</f>
        <v>20</v>
      </c>
      <c r="CT65" s="3">
        <f t="array" ref="CT65">SUMPRODUCT($J65:$U65,TRANSPOSE(CT$3:CT$14))</f>
        <v>10</v>
      </c>
      <c r="CU65" s="3">
        <f t="array" ref="CU65">SUMPRODUCT($J65:$U65,TRANSPOSE(CU$3:CU$14))</f>
        <v>0</v>
      </c>
      <c r="CV65" s="3">
        <f t="array" ref="CV65">SUMPRODUCT($J65:$U65,TRANSPOSE(CV$3:CV$14))</f>
        <v>0</v>
      </c>
      <c r="CW65" s="3">
        <f t="array" ref="CW65">SUMPRODUCT($J65:$U65,TRANSPOSE(CW$3:CW$14))</f>
        <v>0</v>
      </c>
      <c r="CX65" s="3">
        <f t="array" ref="CX65">SUMPRODUCT($J65:$U65,TRANSPOSE(CX$3:CX$14))</f>
        <v>0</v>
      </c>
      <c r="CY65" s="3">
        <f t="array" ref="CY65">SUMPRODUCT($J65:$U65,TRANSPOSE(CY$3:CY$14))</f>
        <v>0</v>
      </c>
      <c r="CZ65" s="3">
        <f t="array" ref="CZ65">SUMPRODUCT($J65:$U65,TRANSPOSE(CZ$3:CZ$14))</f>
        <v>0</v>
      </c>
      <c r="DA65" s="3">
        <f t="array" ref="DA65">SUMPRODUCT($J65:$U65,TRANSPOSE(DA$3:DA$14))</f>
        <v>0</v>
      </c>
      <c r="DB65" s="3">
        <f t="array" ref="DB65">SUMPRODUCT($J65:$U65,TRANSPOSE(DB$3:DB$14))</f>
        <v>0</v>
      </c>
      <c r="DC65" s="3">
        <f t="array" ref="DC65">SUMPRODUCT($J65:$U65,TRANSPOSE(DC$3:DC$14))</f>
        <v>0</v>
      </c>
      <c r="DD65" s="3">
        <f t="array" ref="DD65">SUMPRODUCT($J65:$U65,TRANSPOSE(DD$3:DD$14))</f>
        <v>0</v>
      </c>
      <c r="DE65" s="3">
        <f t="array" ref="DE65">SUMPRODUCT($J65:$U65,TRANSPOSE(DE$3:DE$14))</f>
        <v>0</v>
      </c>
    </row>
    <row r="66" spans="1:109" ht="13.5" thickBot="1" x14ac:dyDescent="0.25">
      <c r="A66" s="3">
        <v>98</v>
      </c>
      <c r="B66" s="9" t="s">
        <v>473</v>
      </c>
      <c r="C66" s="3" t="s">
        <v>48</v>
      </c>
      <c r="D66" s="16">
        <v>401367866</v>
      </c>
      <c r="F66" s="3" t="s">
        <v>474</v>
      </c>
      <c r="G66" s="3" t="s">
        <v>14</v>
      </c>
      <c r="H66" s="3">
        <v>1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f t="shared" si="39"/>
        <v>1</v>
      </c>
      <c r="W66" s="3">
        <f t="shared" si="38"/>
        <v>130</v>
      </c>
      <c r="X66" s="8" t="s">
        <v>363</v>
      </c>
      <c r="Y66" s="19">
        <v>33</v>
      </c>
      <c r="Z66" s="3" t="s">
        <v>395</v>
      </c>
      <c r="AA66" s="3" t="s">
        <v>396</v>
      </c>
      <c r="AB66" s="3" t="s">
        <v>397</v>
      </c>
      <c r="AC66" s="23" t="s">
        <v>398</v>
      </c>
      <c r="BJ66" s="3">
        <f>SUM($AE66,$AF66:AH66)-SUM($CH66:CK66)</f>
        <v>0</v>
      </c>
      <c r="BK66" s="3">
        <f>SUM($AE66,$AF66:AI66)-SUM($CH66:CL66)</f>
        <v>0</v>
      </c>
      <c r="BL66" s="3">
        <f>SUM($AE66,$AF66:AJ66)-SUM($CH66:CM66)</f>
        <v>-10</v>
      </c>
      <c r="BM66" s="3">
        <f>SUM($AE66,$AF66:AK66)-SUM($CH66:CN66)</f>
        <v>-25</v>
      </c>
      <c r="BN66" s="3">
        <f>SUM($AE66,$AF66:AL66)-SUM($CH66:CO66)</f>
        <v>-40</v>
      </c>
      <c r="BO66" s="3">
        <f>SUM($AE66,$AF66:AM66)-SUM($CH66:CP66)</f>
        <v>-60</v>
      </c>
      <c r="BP66" s="3">
        <f>SUM($AE66,$AF66:AN66)-SUM($CH66:CQ66)</f>
        <v>-80</v>
      </c>
      <c r="BQ66" s="3">
        <f>SUM($AE66,$AF66:AO66)-SUM($CH66:CR66)</f>
        <v>-100</v>
      </c>
      <c r="BR66" s="3">
        <f>SUM($AE66,$AF66:AP66)-SUM($CH66:CS66)</f>
        <v>-120</v>
      </c>
      <c r="BS66" s="3">
        <f>SUM($AE66,$AF66:AQ66)-SUM($CH66:CT66)</f>
        <v>-130</v>
      </c>
      <c r="BT66" s="3">
        <f>SUM($AE66,$AF66:AR66)-SUM($CH66:CU66)</f>
        <v>-130</v>
      </c>
      <c r="BU66" s="3">
        <f>SUM($AE66,$AF66:AS66)-SUM($CH66:CV66)</f>
        <v>-130</v>
      </c>
      <c r="BV66" s="3">
        <f>SUM($AE66,$AF66:AT66)-SUM($CH66:CW66)</f>
        <v>-130</v>
      </c>
      <c r="BW66" s="3">
        <f>SUM($AE66,$AF66:AU66)-SUM($CH66:CX66)</f>
        <v>-130</v>
      </c>
      <c r="BX66" s="3">
        <f>SUM($AE66,$AF66:AV66)-SUM($CH66:CY66)</f>
        <v>-130</v>
      </c>
      <c r="BY66" s="3">
        <f>SUM($AE66,$AF66:AW66)-SUM($CH66:CZ66)</f>
        <v>-130</v>
      </c>
      <c r="BZ66" s="3">
        <f>SUM($AE66,$AF66:AX66)-SUM($CH66:DA66)</f>
        <v>-130</v>
      </c>
      <c r="CA66" s="3">
        <f>SUM($AE66,$AF66:AY66)-SUM($CH66:DB66)</f>
        <v>-130</v>
      </c>
      <c r="CB66" s="3">
        <f>SUM($AE66,$AF66:AZ66)-SUM($CH66:DC66)</f>
        <v>-130</v>
      </c>
      <c r="CC66" s="3">
        <f>SUM($AE66,$AF66:BA66)-SUM($CH66:DD66)</f>
        <v>-130</v>
      </c>
      <c r="CI66" s="3">
        <f t="array" ref="CI66">SUMPRODUCT($J66:$U66,TRANSPOSE(CI$3:CI$14))</f>
        <v>0</v>
      </c>
      <c r="CJ66" s="3">
        <f t="array" ref="CJ66">SUMPRODUCT($J66:$U66,TRANSPOSE(CJ$3:CJ$14))</f>
        <v>0</v>
      </c>
      <c r="CK66" s="3">
        <f t="array" ref="CK66">SUMPRODUCT($J66:$U66,TRANSPOSE(CK$3:CK$14))</f>
        <v>0</v>
      </c>
      <c r="CL66" s="3">
        <f t="array" ref="CL66">SUMPRODUCT($J66:$U66,TRANSPOSE(CL$3:CL$14))</f>
        <v>0</v>
      </c>
      <c r="CM66" s="3">
        <f t="array" ref="CM66">SUMPRODUCT($J66:$U66,TRANSPOSE(CM$3:CM$14))</f>
        <v>10</v>
      </c>
      <c r="CN66" s="3">
        <f t="array" ref="CN66">SUMPRODUCT($J66:$U66,TRANSPOSE(CN$3:CN$14))</f>
        <v>15</v>
      </c>
      <c r="CO66" s="3">
        <f t="array" ref="CO66">SUMPRODUCT($J66:$U66,TRANSPOSE(CO$3:CO$14))</f>
        <v>15</v>
      </c>
      <c r="CP66" s="3">
        <f t="array" ref="CP66">SUMPRODUCT($J66:$U66,TRANSPOSE(CP$3:CP$14))</f>
        <v>20</v>
      </c>
      <c r="CQ66" s="3">
        <f t="array" ref="CQ66">SUMPRODUCT($J66:$U66,TRANSPOSE(CQ$3:CQ$14))</f>
        <v>20</v>
      </c>
      <c r="CR66" s="3">
        <f t="array" ref="CR66">SUMPRODUCT($J66:$U66,TRANSPOSE(CR$3:CR$14))</f>
        <v>20</v>
      </c>
      <c r="CS66" s="3">
        <f t="array" ref="CS66">SUMPRODUCT($J66:$U66,TRANSPOSE(CS$3:CS$14))</f>
        <v>20</v>
      </c>
      <c r="CT66" s="3">
        <f t="array" ref="CT66">SUMPRODUCT($J66:$U66,TRANSPOSE(CT$3:CT$14))</f>
        <v>10</v>
      </c>
      <c r="CU66" s="3">
        <f t="array" ref="CU66">SUMPRODUCT($J66:$U66,TRANSPOSE(CU$3:CU$14))</f>
        <v>0</v>
      </c>
      <c r="CV66" s="3">
        <f t="array" ref="CV66">SUMPRODUCT($J66:$U66,TRANSPOSE(CV$3:CV$14))</f>
        <v>0</v>
      </c>
      <c r="CW66" s="3">
        <f t="array" ref="CW66">SUMPRODUCT($J66:$U66,TRANSPOSE(CW$3:CW$14))</f>
        <v>0</v>
      </c>
      <c r="CX66" s="3">
        <f t="array" ref="CX66">SUMPRODUCT($J66:$U66,TRANSPOSE(CX$3:CX$14))</f>
        <v>0</v>
      </c>
      <c r="CY66" s="3">
        <f t="array" ref="CY66">SUMPRODUCT($J66:$U66,TRANSPOSE(CY$3:CY$14))</f>
        <v>0</v>
      </c>
      <c r="CZ66" s="3">
        <f t="array" ref="CZ66">SUMPRODUCT($J66:$U66,TRANSPOSE(CZ$3:CZ$14))</f>
        <v>0</v>
      </c>
      <c r="DA66" s="3">
        <f t="array" ref="DA66">SUMPRODUCT($J66:$U66,TRANSPOSE(DA$3:DA$14))</f>
        <v>0</v>
      </c>
      <c r="DB66" s="3">
        <f t="array" ref="DB66">SUMPRODUCT($J66:$U66,TRANSPOSE(DB$3:DB$14))</f>
        <v>0</v>
      </c>
      <c r="DC66" s="3">
        <f t="array" ref="DC66">SUMPRODUCT($J66:$U66,TRANSPOSE(DC$3:DC$14))</f>
        <v>0</v>
      </c>
      <c r="DD66" s="3">
        <f t="array" ref="DD66">SUMPRODUCT($J66:$U66,TRANSPOSE(DD$3:DD$14))</f>
        <v>0</v>
      </c>
      <c r="DE66" s="3">
        <f t="array" ref="DE66">SUMPRODUCT($J66:$U66,TRANSPOSE(DE$3:DE$14))</f>
        <v>0</v>
      </c>
    </row>
    <row r="67" spans="1:109" ht="13.5" thickBot="1" x14ac:dyDescent="0.25">
      <c r="A67" s="3">
        <v>99</v>
      </c>
      <c r="B67" s="9" t="s">
        <v>475</v>
      </c>
      <c r="C67" s="3" t="s">
        <v>48</v>
      </c>
      <c r="D67" s="16">
        <v>401367862</v>
      </c>
      <c r="F67" s="3" t="s">
        <v>476</v>
      </c>
      <c r="G67" s="3" t="s">
        <v>14</v>
      </c>
      <c r="H67" s="3">
        <v>1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f t="shared" si="39"/>
        <v>1</v>
      </c>
      <c r="W67" s="3">
        <f t="shared" si="38"/>
        <v>130</v>
      </c>
      <c r="X67" s="8" t="s">
        <v>363</v>
      </c>
      <c r="Y67" s="19">
        <v>33</v>
      </c>
      <c r="Z67" s="3" t="s">
        <v>395</v>
      </c>
      <c r="AA67" s="3" t="s">
        <v>396</v>
      </c>
      <c r="AB67" s="3" t="s">
        <v>397</v>
      </c>
      <c r="AC67" s="23" t="s">
        <v>398</v>
      </c>
      <c r="BJ67" s="3">
        <f>SUM($AE67,$AF67:AH67)-SUM($CH67:CK67)</f>
        <v>0</v>
      </c>
      <c r="BK67" s="3">
        <f>SUM($AE67,$AF67:AI67)-SUM($CH67:CL67)</f>
        <v>0</v>
      </c>
      <c r="BL67" s="3">
        <f>SUM($AE67,$AF67:AJ67)-SUM($CH67:CM67)</f>
        <v>-10</v>
      </c>
      <c r="BM67" s="3">
        <f>SUM($AE67,$AF67:AK67)-SUM($CH67:CN67)</f>
        <v>-25</v>
      </c>
      <c r="BN67" s="3">
        <f>SUM($AE67,$AF67:AL67)-SUM($CH67:CO67)</f>
        <v>-40</v>
      </c>
      <c r="BO67" s="3">
        <f>SUM($AE67,$AF67:AM67)-SUM($CH67:CP67)</f>
        <v>-60</v>
      </c>
      <c r="BP67" s="3">
        <f>SUM($AE67,$AF67:AN67)-SUM($CH67:CQ67)</f>
        <v>-80</v>
      </c>
      <c r="BQ67" s="3">
        <f>SUM($AE67,$AF67:AO67)-SUM($CH67:CR67)</f>
        <v>-100</v>
      </c>
      <c r="BR67" s="3">
        <f>SUM($AE67,$AF67:AP67)-SUM($CH67:CS67)</f>
        <v>-120</v>
      </c>
      <c r="BS67" s="3">
        <f>SUM($AE67,$AF67:AQ67)-SUM($CH67:CT67)</f>
        <v>-130</v>
      </c>
      <c r="BT67" s="3">
        <f>SUM($AE67,$AF67:AR67)-SUM($CH67:CU67)</f>
        <v>-130</v>
      </c>
      <c r="BU67" s="3">
        <f>SUM($AE67,$AF67:AS67)-SUM($CH67:CV67)</f>
        <v>-130</v>
      </c>
      <c r="BV67" s="3">
        <f>SUM($AE67,$AF67:AT67)-SUM($CH67:CW67)</f>
        <v>-130</v>
      </c>
      <c r="BW67" s="3">
        <f>SUM($AE67,$AF67:AU67)-SUM($CH67:CX67)</f>
        <v>-130</v>
      </c>
      <c r="BX67" s="3">
        <f>SUM($AE67,$AF67:AV67)-SUM($CH67:CY67)</f>
        <v>-130</v>
      </c>
      <c r="BY67" s="3">
        <f>SUM($AE67,$AF67:AW67)-SUM($CH67:CZ67)</f>
        <v>-130</v>
      </c>
      <c r="BZ67" s="3">
        <f>SUM($AE67,$AF67:AX67)-SUM($CH67:DA67)</f>
        <v>-130</v>
      </c>
      <c r="CA67" s="3">
        <f>SUM($AE67,$AF67:AY67)-SUM($CH67:DB67)</f>
        <v>-130</v>
      </c>
      <c r="CB67" s="3">
        <f>SUM($AE67,$AF67:AZ67)-SUM($CH67:DC67)</f>
        <v>-130</v>
      </c>
      <c r="CC67" s="3">
        <f>SUM($AE67,$AF67:BA67)-SUM($CH67:DD67)</f>
        <v>-130</v>
      </c>
      <c r="CI67" s="3">
        <f t="array" ref="CI67">SUMPRODUCT($J67:$U67,TRANSPOSE(CI$3:CI$14))</f>
        <v>0</v>
      </c>
      <c r="CJ67" s="3">
        <f t="array" ref="CJ67">SUMPRODUCT($J67:$U67,TRANSPOSE(CJ$3:CJ$14))</f>
        <v>0</v>
      </c>
      <c r="CK67" s="3">
        <f t="array" ref="CK67">SUMPRODUCT($J67:$U67,TRANSPOSE(CK$3:CK$14))</f>
        <v>0</v>
      </c>
      <c r="CL67" s="3">
        <f t="array" ref="CL67">SUMPRODUCT($J67:$U67,TRANSPOSE(CL$3:CL$14))</f>
        <v>0</v>
      </c>
      <c r="CM67" s="3">
        <f t="array" ref="CM67">SUMPRODUCT($J67:$U67,TRANSPOSE(CM$3:CM$14))</f>
        <v>10</v>
      </c>
      <c r="CN67" s="3">
        <f t="array" ref="CN67">SUMPRODUCT($J67:$U67,TRANSPOSE(CN$3:CN$14))</f>
        <v>15</v>
      </c>
      <c r="CO67" s="3">
        <f t="array" ref="CO67">SUMPRODUCT($J67:$U67,TRANSPOSE(CO$3:CO$14))</f>
        <v>15</v>
      </c>
      <c r="CP67" s="3">
        <f t="array" ref="CP67">SUMPRODUCT($J67:$U67,TRANSPOSE(CP$3:CP$14))</f>
        <v>20</v>
      </c>
      <c r="CQ67" s="3">
        <f t="array" ref="CQ67">SUMPRODUCT($J67:$U67,TRANSPOSE(CQ$3:CQ$14))</f>
        <v>20</v>
      </c>
      <c r="CR67" s="3">
        <f t="array" ref="CR67">SUMPRODUCT($J67:$U67,TRANSPOSE(CR$3:CR$14))</f>
        <v>20</v>
      </c>
      <c r="CS67" s="3">
        <f t="array" ref="CS67">SUMPRODUCT($J67:$U67,TRANSPOSE(CS$3:CS$14))</f>
        <v>20</v>
      </c>
      <c r="CT67" s="3">
        <f t="array" ref="CT67">SUMPRODUCT($J67:$U67,TRANSPOSE(CT$3:CT$14))</f>
        <v>10</v>
      </c>
      <c r="CU67" s="3">
        <f t="array" ref="CU67">SUMPRODUCT($J67:$U67,TRANSPOSE(CU$3:CU$14))</f>
        <v>0</v>
      </c>
      <c r="CV67" s="3">
        <f t="array" ref="CV67">SUMPRODUCT($J67:$U67,TRANSPOSE(CV$3:CV$14))</f>
        <v>0</v>
      </c>
      <c r="CW67" s="3">
        <f t="array" ref="CW67">SUMPRODUCT($J67:$U67,TRANSPOSE(CW$3:CW$14))</f>
        <v>0</v>
      </c>
      <c r="CX67" s="3">
        <f t="array" ref="CX67">SUMPRODUCT($J67:$U67,TRANSPOSE(CX$3:CX$14))</f>
        <v>0</v>
      </c>
      <c r="CY67" s="3">
        <f t="array" ref="CY67">SUMPRODUCT($J67:$U67,TRANSPOSE(CY$3:CY$14))</f>
        <v>0</v>
      </c>
      <c r="CZ67" s="3">
        <f t="array" ref="CZ67">SUMPRODUCT($J67:$U67,TRANSPOSE(CZ$3:CZ$14))</f>
        <v>0</v>
      </c>
      <c r="DA67" s="3">
        <f t="array" ref="DA67">SUMPRODUCT($J67:$U67,TRANSPOSE(DA$3:DA$14))</f>
        <v>0</v>
      </c>
      <c r="DB67" s="3">
        <f t="array" ref="DB67">SUMPRODUCT($J67:$U67,TRANSPOSE(DB$3:DB$14))</f>
        <v>0</v>
      </c>
      <c r="DC67" s="3">
        <f t="array" ref="DC67">SUMPRODUCT($J67:$U67,TRANSPOSE(DC$3:DC$14))</f>
        <v>0</v>
      </c>
      <c r="DD67" s="3">
        <f t="array" ref="DD67">SUMPRODUCT($J67:$U67,TRANSPOSE(DD$3:DD$14))</f>
        <v>0</v>
      </c>
      <c r="DE67" s="3">
        <f t="array" ref="DE67">SUMPRODUCT($J67:$U67,TRANSPOSE(DE$3:DE$14))</f>
        <v>0</v>
      </c>
    </row>
    <row r="68" spans="1:109" ht="13.5" thickBot="1" x14ac:dyDescent="0.25">
      <c r="A68" s="3">
        <v>100</v>
      </c>
      <c r="B68" s="9" t="s">
        <v>477</v>
      </c>
      <c r="C68" s="3" t="s">
        <v>48</v>
      </c>
      <c r="D68" s="16">
        <v>401367848</v>
      </c>
      <c r="F68" s="3" t="s">
        <v>478</v>
      </c>
      <c r="G68" s="3" t="s">
        <v>14</v>
      </c>
      <c r="H68" s="3">
        <v>1</v>
      </c>
      <c r="I68" s="3">
        <v>1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f t="shared" si="39"/>
        <v>1</v>
      </c>
      <c r="W68" s="3">
        <f t="shared" si="38"/>
        <v>130</v>
      </c>
      <c r="X68" s="8" t="s">
        <v>363</v>
      </c>
      <c r="Y68" s="19">
        <v>33</v>
      </c>
      <c r="Z68" s="3" t="s">
        <v>395</v>
      </c>
      <c r="AA68" s="3" t="s">
        <v>396</v>
      </c>
      <c r="AB68" s="3" t="s">
        <v>397</v>
      </c>
      <c r="AC68" s="23" t="s">
        <v>398</v>
      </c>
      <c r="BJ68" s="3">
        <f>SUM($AE68,$AF68:AH68)-SUM($CH68:CK68)</f>
        <v>0</v>
      </c>
      <c r="BK68" s="3">
        <f>SUM($AE68,$AF68:AI68)-SUM($CH68:CL68)</f>
        <v>0</v>
      </c>
      <c r="BL68" s="3">
        <f>SUM($AE68,$AF68:AJ68)-SUM($CH68:CM68)</f>
        <v>-10</v>
      </c>
      <c r="BM68" s="3">
        <f>SUM($AE68,$AF68:AK68)-SUM($CH68:CN68)</f>
        <v>-25</v>
      </c>
      <c r="BN68" s="3">
        <f>SUM($AE68,$AF68:AL68)-SUM($CH68:CO68)</f>
        <v>-40</v>
      </c>
      <c r="BO68" s="3">
        <f>SUM($AE68,$AF68:AM68)-SUM($CH68:CP68)</f>
        <v>-60</v>
      </c>
      <c r="BP68" s="3">
        <f>SUM($AE68,$AF68:AN68)-SUM($CH68:CQ68)</f>
        <v>-80</v>
      </c>
      <c r="BQ68" s="3">
        <f>SUM($AE68,$AF68:AO68)-SUM($CH68:CR68)</f>
        <v>-100</v>
      </c>
      <c r="BR68" s="3">
        <f>SUM($AE68,$AF68:AP68)-SUM($CH68:CS68)</f>
        <v>-120</v>
      </c>
      <c r="BS68" s="3">
        <f>SUM($AE68,$AF68:AQ68)-SUM($CH68:CT68)</f>
        <v>-130</v>
      </c>
      <c r="BT68" s="3">
        <f>SUM($AE68,$AF68:AR68)-SUM($CH68:CU68)</f>
        <v>-130</v>
      </c>
      <c r="BU68" s="3">
        <f>SUM($AE68,$AF68:AS68)-SUM($CH68:CV68)</f>
        <v>-130</v>
      </c>
      <c r="BV68" s="3">
        <f>SUM($AE68,$AF68:AT68)-SUM($CH68:CW68)</f>
        <v>-130</v>
      </c>
      <c r="BW68" s="3">
        <f>SUM($AE68,$AF68:AU68)-SUM($CH68:CX68)</f>
        <v>-130</v>
      </c>
      <c r="BX68" s="3">
        <f>SUM($AE68,$AF68:AV68)-SUM($CH68:CY68)</f>
        <v>-130</v>
      </c>
      <c r="BY68" s="3">
        <f>SUM($AE68,$AF68:AW68)-SUM($CH68:CZ68)</f>
        <v>-130</v>
      </c>
      <c r="BZ68" s="3">
        <f>SUM($AE68,$AF68:AX68)-SUM($CH68:DA68)</f>
        <v>-130</v>
      </c>
      <c r="CA68" s="3">
        <f>SUM($AE68,$AF68:AY68)-SUM($CH68:DB68)</f>
        <v>-130</v>
      </c>
      <c r="CB68" s="3">
        <f>SUM($AE68,$AF68:AZ68)-SUM($CH68:DC68)</f>
        <v>-130</v>
      </c>
      <c r="CC68" s="3">
        <f>SUM($AE68,$AF68:BA68)-SUM($CH68:DD68)</f>
        <v>-130</v>
      </c>
      <c r="CI68" s="3">
        <f t="array" ref="CI68">SUMPRODUCT($J68:$U68,TRANSPOSE(CI$3:CI$14))</f>
        <v>0</v>
      </c>
      <c r="CJ68" s="3">
        <f t="array" ref="CJ68">SUMPRODUCT($J68:$U68,TRANSPOSE(CJ$3:CJ$14))</f>
        <v>0</v>
      </c>
      <c r="CK68" s="3">
        <f t="array" ref="CK68">SUMPRODUCT($J68:$U68,TRANSPOSE(CK$3:CK$14))</f>
        <v>0</v>
      </c>
      <c r="CL68" s="3">
        <f t="array" ref="CL68">SUMPRODUCT($J68:$U68,TRANSPOSE(CL$3:CL$14))</f>
        <v>0</v>
      </c>
      <c r="CM68" s="3">
        <f t="array" ref="CM68">SUMPRODUCT($J68:$U68,TRANSPOSE(CM$3:CM$14))</f>
        <v>10</v>
      </c>
      <c r="CN68" s="3">
        <f t="array" ref="CN68">SUMPRODUCT($J68:$U68,TRANSPOSE(CN$3:CN$14))</f>
        <v>15</v>
      </c>
      <c r="CO68" s="3">
        <f t="array" ref="CO68">SUMPRODUCT($J68:$U68,TRANSPOSE(CO$3:CO$14))</f>
        <v>15</v>
      </c>
      <c r="CP68" s="3">
        <f t="array" ref="CP68">SUMPRODUCT($J68:$U68,TRANSPOSE(CP$3:CP$14))</f>
        <v>20</v>
      </c>
      <c r="CQ68" s="3">
        <f t="array" ref="CQ68">SUMPRODUCT($J68:$U68,TRANSPOSE(CQ$3:CQ$14))</f>
        <v>20</v>
      </c>
      <c r="CR68" s="3">
        <f t="array" ref="CR68">SUMPRODUCT($J68:$U68,TRANSPOSE(CR$3:CR$14))</f>
        <v>20</v>
      </c>
      <c r="CS68" s="3">
        <f t="array" ref="CS68">SUMPRODUCT($J68:$U68,TRANSPOSE(CS$3:CS$14))</f>
        <v>20</v>
      </c>
      <c r="CT68" s="3">
        <f t="array" ref="CT68">SUMPRODUCT($J68:$U68,TRANSPOSE(CT$3:CT$14))</f>
        <v>10</v>
      </c>
      <c r="CU68" s="3">
        <f t="array" ref="CU68">SUMPRODUCT($J68:$U68,TRANSPOSE(CU$3:CU$14))</f>
        <v>0</v>
      </c>
      <c r="CV68" s="3">
        <f t="array" ref="CV68">SUMPRODUCT($J68:$U68,TRANSPOSE(CV$3:CV$14))</f>
        <v>0</v>
      </c>
      <c r="CW68" s="3">
        <f t="array" ref="CW68">SUMPRODUCT($J68:$U68,TRANSPOSE(CW$3:CW$14))</f>
        <v>0</v>
      </c>
      <c r="CX68" s="3">
        <f t="array" ref="CX68">SUMPRODUCT($J68:$U68,TRANSPOSE(CX$3:CX$14))</f>
        <v>0</v>
      </c>
      <c r="CY68" s="3">
        <f t="array" ref="CY68">SUMPRODUCT($J68:$U68,TRANSPOSE(CY$3:CY$14))</f>
        <v>0</v>
      </c>
      <c r="CZ68" s="3">
        <f t="array" ref="CZ68">SUMPRODUCT($J68:$U68,TRANSPOSE(CZ$3:CZ$14))</f>
        <v>0</v>
      </c>
      <c r="DA68" s="3">
        <f t="array" ref="DA68">SUMPRODUCT($J68:$U68,TRANSPOSE(DA$3:DA$14))</f>
        <v>0</v>
      </c>
      <c r="DB68" s="3">
        <f t="array" ref="DB68">SUMPRODUCT($J68:$U68,TRANSPOSE(DB$3:DB$14))</f>
        <v>0</v>
      </c>
      <c r="DC68" s="3">
        <f t="array" ref="DC68">SUMPRODUCT($J68:$U68,TRANSPOSE(DC$3:DC$14))</f>
        <v>0</v>
      </c>
      <c r="DD68" s="3">
        <f t="array" ref="DD68">SUMPRODUCT($J68:$U68,TRANSPOSE(DD$3:DD$14))</f>
        <v>0</v>
      </c>
      <c r="DE68" s="3">
        <f t="array" ref="DE68">SUMPRODUCT($J68:$U68,TRANSPOSE(DE$3:DE$14))</f>
        <v>0</v>
      </c>
    </row>
    <row r="69" spans="1:109" ht="13.5" thickBot="1" x14ac:dyDescent="0.25">
      <c r="A69" s="3">
        <v>101</v>
      </c>
      <c r="B69" s="9" t="s">
        <v>479</v>
      </c>
      <c r="C69" s="3" t="s">
        <v>48</v>
      </c>
      <c r="D69" s="16">
        <v>401367873</v>
      </c>
      <c r="F69" s="3" t="s">
        <v>480</v>
      </c>
      <c r="G69" s="3" t="s">
        <v>14</v>
      </c>
      <c r="H69" s="3">
        <v>1</v>
      </c>
      <c r="I69" s="3">
        <v>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f t="shared" si="39"/>
        <v>1</v>
      </c>
      <c r="W69" s="3">
        <f t="shared" si="38"/>
        <v>130</v>
      </c>
      <c r="X69" s="8" t="s">
        <v>363</v>
      </c>
      <c r="Y69" s="19">
        <v>33</v>
      </c>
      <c r="Z69" s="3" t="s">
        <v>395</v>
      </c>
      <c r="AA69" s="3" t="s">
        <v>396</v>
      </c>
      <c r="AB69" s="3" t="s">
        <v>397</v>
      </c>
      <c r="AC69" s="23" t="s">
        <v>398</v>
      </c>
      <c r="BJ69" s="3">
        <f>SUM($AE69,$AF69:AH69)-SUM($CH69:CK69)</f>
        <v>0</v>
      </c>
      <c r="BK69" s="3">
        <f>SUM($AE69,$AF69:AI69)-SUM($CH69:CL69)</f>
        <v>0</v>
      </c>
      <c r="BL69" s="3">
        <f>SUM($AE69,$AF69:AJ69)-SUM($CH69:CM69)</f>
        <v>-10</v>
      </c>
      <c r="BM69" s="3">
        <f>SUM($AE69,$AF69:AK69)-SUM($CH69:CN69)</f>
        <v>-25</v>
      </c>
      <c r="BN69" s="3">
        <f>SUM($AE69,$AF69:AL69)-SUM($CH69:CO69)</f>
        <v>-40</v>
      </c>
      <c r="BO69" s="3">
        <f>SUM($AE69,$AF69:AM69)-SUM($CH69:CP69)</f>
        <v>-60</v>
      </c>
      <c r="BP69" s="3">
        <f>SUM($AE69,$AF69:AN69)-SUM($CH69:CQ69)</f>
        <v>-80</v>
      </c>
      <c r="BQ69" s="3">
        <f>SUM($AE69,$AF69:AO69)-SUM($CH69:CR69)</f>
        <v>-100</v>
      </c>
      <c r="BR69" s="3">
        <f>SUM($AE69,$AF69:AP69)-SUM($CH69:CS69)</f>
        <v>-120</v>
      </c>
      <c r="BS69" s="3">
        <f>SUM($AE69,$AF69:AQ69)-SUM($CH69:CT69)</f>
        <v>-130</v>
      </c>
      <c r="BT69" s="3">
        <f>SUM($AE69,$AF69:AR69)-SUM($CH69:CU69)</f>
        <v>-130</v>
      </c>
      <c r="BU69" s="3">
        <f>SUM($AE69,$AF69:AS69)-SUM($CH69:CV69)</f>
        <v>-130</v>
      </c>
      <c r="BV69" s="3">
        <f>SUM($AE69,$AF69:AT69)-SUM($CH69:CW69)</f>
        <v>-130</v>
      </c>
      <c r="BW69" s="3">
        <f>SUM($AE69,$AF69:AU69)-SUM($CH69:CX69)</f>
        <v>-130</v>
      </c>
      <c r="BX69" s="3">
        <f>SUM($AE69,$AF69:AV69)-SUM($CH69:CY69)</f>
        <v>-130</v>
      </c>
      <c r="BY69" s="3">
        <f>SUM($AE69,$AF69:AW69)-SUM($CH69:CZ69)</f>
        <v>-130</v>
      </c>
      <c r="BZ69" s="3">
        <f>SUM($AE69,$AF69:AX69)-SUM($CH69:DA69)</f>
        <v>-130</v>
      </c>
      <c r="CA69" s="3">
        <f>SUM($AE69,$AF69:AY69)-SUM($CH69:DB69)</f>
        <v>-130</v>
      </c>
      <c r="CB69" s="3">
        <f>SUM($AE69,$AF69:AZ69)-SUM($CH69:DC69)</f>
        <v>-130</v>
      </c>
      <c r="CC69" s="3">
        <f>SUM($AE69,$AF69:BA69)-SUM($CH69:DD69)</f>
        <v>-130</v>
      </c>
      <c r="CI69" s="3">
        <f t="array" ref="CI69">SUMPRODUCT($J69:$U69,TRANSPOSE(CI$3:CI$14))</f>
        <v>0</v>
      </c>
      <c r="CJ69" s="3">
        <f t="array" ref="CJ69">SUMPRODUCT($J69:$U69,TRANSPOSE(CJ$3:CJ$14))</f>
        <v>0</v>
      </c>
      <c r="CK69" s="3">
        <f t="array" ref="CK69">SUMPRODUCT($J69:$U69,TRANSPOSE(CK$3:CK$14))</f>
        <v>0</v>
      </c>
      <c r="CL69" s="3">
        <f t="array" ref="CL69">SUMPRODUCT($J69:$U69,TRANSPOSE(CL$3:CL$14))</f>
        <v>0</v>
      </c>
      <c r="CM69" s="3">
        <f t="array" ref="CM69">SUMPRODUCT($J69:$U69,TRANSPOSE(CM$3:CM$14))</f>
        <v>10</v>
      </c>
      <c r="CN69" s="3">
        <f t="array" ref="CN69">SUMPRODUCT($J69:$U69,TRANSPOSE(CN$3:CN$14))</f>
        <v>15</v>
      </c>
      <c r="CO69" s="3">
        <f t="array" ref="CO69">SUMPRODUCT($J69:$U69,TRANSPOSE(CO$3:CO$14))</f>
        <v>15</v>
      </c>
      <c r="CP69" s="3">
        <f t="array" ref="CP69">SUMPRODUCT($J69:$U69,TRANSPOSE(CP$3:CP$14))</f>
        <v>20</v>
      </c>
      <c r="CQ69" s="3">
        <f t="array" ref="CQ69">SUMPRODUCT($J69:$U69,TRANSPOSE(CQ$3:CQ$14))</f>
        <v>20</v>
      </c>
      <c r="CR69" s="3">
        <f t="array" ref="CR69">SUMPRODUCT($J69:$U69,TRANSPOSE(CR$3:CR$14))</f>
        <v>20</v>
      </c>
      <c r="CS69" s="3">
        <f t="array" ref="CS69">SUMPRODUCT($J69:$U69,TRANSPOSE(CS$3:CS$14))</f>
        <v>20</v>
      </c>
      <c r="CT69" s="3">
        <f t="array" ref="CT69">SUMPRODUCT($J69:$U69,TRANSPOSE(CT$3:CT$14))</f>
        <v>10</v>
      </c>
      <c r="CU69" s="3">
        <f t="array" ref="CU69">SUMPRODUCT($J69:$U69,TRANSPOSE(CU$3:CU$14))</f>
        <v>0</v>
      </c>
      <c r="CV69" s="3">
        <f t="array" ref="CV69">SUMPRODUCT($J69:$U69,TRANSPOSE(CV$3:CV$14))</f>
        <v>0</v>
      </c>
      <c r="CW69" s="3">
        <f t="array" ref="CW69">SUMPRODUCT($J69:$U69,TRANSPOSE(CW$3:CW$14))</f>
        <v>0</v>
      </c>
      <c r="CX69" s="3">
        <f t="array" ref="CX69">SUMPRODUCT($J69:$U69,TRANSPOSE(CX$3:CX$14))</f>
        <v>0</v>
      </c>
      <c r="CY69" s="3">
        <f t="array" ref="CY69">SUMPRODUCT($J69:$U69,TRANSPOSE(CY$3:CY$14))</f>
        <v>0</v>
      </c>
      <c r="CZ69" s="3">
        <f t="array" ref="CZ69">SUMPRODUCT($J69:$U69,TRANSPOSE(CZ$3:CZ$14))</f>
        <v>0</v>
      </c>
      <c r="DA69" s="3">
        <f t="array" ref="DA69">SUMPRODUCT($J69:$U69,TRANSPOSE(DA$3:DA$14))</f>
        <v>0</v>
      </c>
      <c r="DB69" s="3">
        <f t="array" ref="DB69">SUMPRODUCT($J69:$U69,TRANSPOSE(DB$3:DB$14))</f>
        <v>0</v>
      </c>
      <c r="DC69" s="3">
        <f t="array" ref="DC69">SUMPRODUCT($J69:$U69,TRANSPOSE(DC$3:DC$14))</f>
        <v>0</v>
      </c>
      <c r="DD69" s="3">
        <f t="array" ref="DD69">SUMPRODUCT($J69:$U69,TRANSPOSE(DD$3:DD$14))</f>
        <v>0</v>
      </c>
      <c r="DE69" s="3">
        <f t="array" ref="DE69">SUMPRODUCT($J69:$U69,TRANSPOSE(DE$3:DE$14))</f>
        <v>0</v>
      </c>
    </row>
    <row r="70" spans="1:109" ht="13.5" thickBot="1" x14ac:dyDescent="0.25">
      <c r="A70" s="3">
        <v>102</v>
      </c>
      <c r="B70" s="9" t="s">
        <v>481</v>
      </c>
      <c r="C70" s="3" t="s">
        <v>48</v>
      </c>
      <c r="D70" s="16">
        <v>401367871</v>
      </c>
      <c r="F70" s="3" t="s">
        <v>482</v>
      </c>
      <c r="G70" s="3" t="s">
        <v>14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f t="shared" si="39"/>
        <v>1</v>
      </c>
      <c r="W70" s="3">
        <f t="shared" si="38"/>
        <v>130</v>
      </c>
      <c r="X70" s="8" t="s">
        <v>363</v>
      </c>
      <c r="Y70" s="19">
        <v>33</v>
      </c>
      <c r="Z70" s="3" t="s">
        <v>395</v>
      </c>
      <c r="AA70" s="3" t="s">
        <v>396</v>
      </c>
      <c r="AB70" s="3" t="s">
        <v>397</v>
      </c>
      <c r="AC70" s="23" t="s">
        <v>398</v>
      </c>
      <c r="BJ70" s="3">
        <f>SUM($AE70,$AF70:AH70)-SUM($CH70:CK70)</f>
        <v>0</v>
      </c>
      <c r="BK70" s="3">
        <f>SUM($AE70,$AF70:AI70)-SUM($CH70:CL70)</f>
        <v>0</v>
      </c>
      <c r="BL70" s="3">
        <f>SUM($AE70,$AF70:AJ70)-SUM($CH70:CM70)</f>
        <v>-10</v>
      </c>
      <c r="BM70" s="3">
        <f>SUM($AE70,$AF70:AK70)-SUM($CH70:CN70)</f>
        <v>-25</v>
      </c>
      <c r="BN70" s="3">
        <f>SUM($AE70,$AF70:AL70)-SUM($CH70:CO70)</f>
        <v>-40</v>
      </c>
      <c r="BO70" s="3">
        <f>SUM($AE70,$AF70:AM70)-SUM($CH70:CP70)</f>
        <v>-60</v>
      </c>
      <c r="BP70" s="3">
        <f>SUM($AE70,$AF70:AN70)-SUM($CH70:CQ70)</f>
        <v>-80</v>
      </c>
      <c r="BQ70" s="3">
        <f>SUM($AE70,$AF70:AO70)-SUM($CH70:CR70)</f>
        <v>-100</v>
      </c>
      <c r="BR70" s="3">
        <f>SUM($AE70,$AF70:AP70)-SUM($CH70:CS70)</f>
        <v>-120</v>
      </c>
      <c r="BS70" s="3">
        <f>SUM($AE70,$AF70:AQ70)-SUM($CH70:CT70)</f>
        <v>-130</v>
      </c>
      <c r="BT70" s="3">
        <f>SUM($AE70,$AF70:AR70)-SUM($CH70:CU70)</f>
        <v>-130</v>
      </c>
      <c r="BU70" s="3">
        <f>SUM($AE70,$AF70:AS70)-SUM($CH70:CV70)</f>
        <v>-130</v>
      </c>
      <c r="BV70" s="3">
        <f>SUM($AE70,$AF70:AT70)-SUM($CH70:CW70)</f>
        <v>-130</v>
      </c>
      <c r="BW70" s="3">
        <f>SUM($AE70,$AF70:AU70)-SUM($CH70:CX70)</f>
        <v>-130</v>
      </c>
      <c r="BX70" s="3">
        <f>SUM($AE70,$AF70:AV70)-SUM($CH70:CY70)</f>
        <v>-130</v>
      </c>
      <c r="BY70" s="3">
        <f>SUM($AE70,$AF70:AW70)-SUM($CH70:CZ70)</f>
        <v>-130</v>
      </c>
      <c r="BZ70" s="3">
        <f>SUM($AE70,$AF70:AX70)-SUM($CH70:DA70)</f>
        <v>-130</v>
      </c>
      <c r="CA70" s="3">
        <f>SUM($AE70,$AF70:AY70)-SUM($CH70:DB70)</f>
        <v>-130</v>
      </c>
      <c r="CB70" s="3">
        <f>SUM($AE70,$AF70:AZ70)-SUM($CH70:DC70)</f>
        <v>-130</v>
      </c>
      <c r="CC70" s="3">
        <f>SUM($AE70,$AF70:BA70)-SUM($CH70:DD70)</f>
        <v>-130</v>
      </c>
      <c r="CI70" s="3">
        <f t="array" ref="CI70">SUMPRODUCT($J70:$U70,TRANSPOSE(CI$3:CI$14))</f>
        <v>0</v>
      </c>
      <c r="CJ70" s="3">
        <f t="array" ref="CJ70">SUMPRODUCT($J70:$U70,TRANSPOSE(CJ$3:CJ$14))</f>
        <v>0</v>
      </c>
      <c r="CK70" s="3">
        <f t="array" ref="CK70">SUMPRODUCT($J70:$U70,TRANSPOSE(CK$3:CK$14))</f>
        <v>0</v>
      </c>
      <c r="CL70" s="3">
        <f t="array" ref="CL70">SUMPRODUCT($J70:$U70,TRANSPOSE(CL$3:CL$14))</f>
        <v>0</v>
      </c>
      <c r="CM70" s="3">
        <f t="array" ref="CM70">SUMPRODUCT($J70:$U70,TRANSPOSE(CM$3:CM$14))</f>
        <v>10</v>
      </c>
      <c r="CN70" s="3">
        <f t="array" ref="CN70">SUMPRODUCT($J70:$U70,TRANSPOSE(CN$3:CN$14))</f>
        <v>15</v>
      </c>
      <c r="CO70" s="3">
        <f t="array" ref="CO70">SUMPRODUCT($J70:$U70,TRANSPOSE(CO$3:CO$14))</f>
        <v>15</v>
      </c>
      <c r="CP70" s="3">
        <f t="array" ref="CP70">SUMPRODUCT($J70:$U70,TRANSPOSE(CP$3:CP$14))</f>
        <v>20</v>
      </c>
      <c r="CQ70" s="3">
        <f t="array" ref="CQ70">SUMPRODUCT($J70:$U70,TRANSPOSE(CQ$3:CQ$14))</f>
        <v>20</v>
      </c>
      <c r="CR70" s="3">
        <f t="array" ref="CR70">SUMPRODUCT($J70:$U70,TRANSPOSE(CR$3:CR$14))</f>
        <v>20</v>
      </c>
      <c r="CS70" s="3">
        <f t="array" ref="CS70">SUMPRODUCT($J70:$U70,TRANSPOSE(CS$3:CS$14))</f>
        <v>20</v>
      </c>
      <c r="CT70" s="3">
        <f t="array" ref="CT70">SUMPRODUCT($J70:$U70,TRANSPOSE(CT$3:CT$14))</f>
        <v>10</v>
      </c>
      <c r="CU70" s="3">
        <f t="array" ref="CU70">SUMPRODUCT($J70:$U70,TRANSPOSE(CU$3:CU$14))</f>
        <v>0</v>
      </c>
      <c r="CV70" s="3">
        <f t="array" ref="CV70">SUMPRODUCT($J70:$U70,TRANSPOSE(CV$3:CV$14))</f>
        <v>0</v>
      </c>
      <c r="CW70" s="3">
        <f t="array" ref="CW70">SUMPRODUCT($J70:$U70,TRANSPOSE(CW$3:CW$14))</f>
        <v>0</v>
      </c>
      <c r="CX70" s="3">
        <f t="array" ref="CX70">SUMPRODUCT($J70:$U70,TRANSPOSE(CX$3:CX$14))</f>
        <v>0</v>
      </c>
      <c r="CY70" s="3">
        <f t="array" ref="CY70">SUMPRODUCT($J70:$U70,TRANSPOSE(CY$3:CY$14))</f>
        <v>0</v>
      </c>
      <c r="CZ70" s="3">
        <f t="array" ref="CZ70">SUMPRODUCT($J70:$U70,TRANSPOSE(CZ$3:CZ$14))</f>
        <v>0</v>
      </c>
      <c r="DA70" s="3">
        <f t="array" ref="DA70">SUMPRODUCT($J70:$U70,TRANSPOSE(DA$3:DA$14))</f>
        <v>0</v>
      </c>
      <c r="DB70" s="3">
        <f t="array" ref="DB70">SUMPRODUCT($J70:$U70,TRANSPOSE(DB$3:DB$14))</f>
        <v>0</v>
      </c>
      <c r="DC70" s="3">
        <f t="array" ref="DC70">SUMPRODUCT($J70:$U70,TRANSPOSE(DC$3:DC$14))</f>
        <v>0</v>
      </c>
      <c r="DD70" s="3">
        <f t="array" ref="DD70">SUMPRODUCT($J70:$U70,TRANSPOSE(DD$3:DD$14))</f>
        <v>0</v>
      </c>
      <c r="DE70" s="3">
        <f t="array" ref="DE70">SUMPRODUCT($J70:$U70,TRANSPOSE(DE$3:DE$14))</f>
        <v>0</v>
      </c>
    </row>
    <row r="71" spans="1:109" ht="13.5" thickBot="1" x14ac:dyDescent="0.25">
      <c r="A71" s="3">
        <v>107</v>
      </c>
      <c r="B71" s="9" t="s">
        <v>483</v>
      </c>
      <c r="C71" s="3" t="s">
        <v>13</v>
      </c>
      <c r="D71" s="3">
        <v>401467431</v>
      </c>
      <c r="F71" s="3" t="s">
        <v>64</v>
      </c>
      <c r="G71" s="3" t="s">
        <v>14</v>
      </c>
      <c r="H71" s="3">
        <v>1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f t="shared" si="39"/>
        <v>1</v>
      </c>
      <c r="W71" s="3">
        <f t="shared" si="38"/>
        <v>130</v>
      </c>
      <c r="X71" s="8" t="s">
        <v>363</v>
      </c>
      <c r="Y71" s="3">
        <v>2.5299999999999998</v>
      </c>
      <c r="Z71" s="3" t="s">
        <v>364</v>
      </c>
      <c r="AA71" s="3" t="s">
        <v>365</v>
      </c>
      <c r="AB71" s="3" t="s">
        <v>366</v>
      </c>
      <c r="AC71" s="3" t="s">
        <v>367</v>
      </c>
      <c r="BJ71" s="3">
        <f>SUM($AE71,$AF71:AH71)-SUM($CH71:CK71)</f>
        <v>0</v>
      </c>
      <c r="BK71" s="3">
        <f>SUM($AE71,$AF71:AI71)-SUM($CH71:CL71)</f>
        <v>0</v>
      </c>
      <c r="BL71" s="3">
        <f>SUM($AE71,$AF71:AJ71)-SUM($CH71:CM71)</f>
        <v>-10</v>
      </c>
      <c r="BM71" s="3">
        <f>SUM($AE71,$AF71:AK71)-SUM($CH71:CN71)</f>
        <v>-25</v>
      </c>
      <c r="BN71" s="3">
        <f>SUM($AE71,$AF71:AL71)-SUM($CH71:CO71)</f>
        <v>-40</v>
      </c>
      <c r="BO71" s="3">
        <f>SUM($AE71,$AF71:AM71)-SUM($CH71:CP71)</f>
        <v>-60</v>
      </c>
      <c r="BP71" s="3">
        <f>SUM($AE71,$AF71:AN71)-SUM($CH71:CQ71)</f>
        <v>-80</v>
      </c>
      <c r="BQ71" s="3">
        <f>SUM($AE71,$AF71:AO71)-SUM($CH71:CR71)</f>
        <v>-100</v>
      </c>
      <c r="BR71" s="3">
        <f>SUM($AE71,$AF71:AP71)-SUM($CH71:CS71)</f>
        <v>-120</v>
      </c>
      <c r="BS71" s="3">
        <f>SUM($AE71,$AF71:AQ71)-SUM($CH71:CT71)</f>
        <v>-130</v>
      </c>
      <c r="BT71" s="3">
        <f>SUM($AE71,$AF71:AR71)-SUM($CH71:CU71)</f>
        <v>-130</v>
      </c>
      <c r="BU71" s="3">
        <f>SUM($AE71,$AF71:AS71)-SUM($CH71:CV71)</f>
        <v>-130</v>
      </c>
      <c r="BV71" s="3">
        <f>SUM($AE71,$AF71:AT71)-SUM($CH71:CW71)</f>
        <v>-130</v>
      </c>
      <c r="BW71" s="3">
        <f>SUM($AE71,$AF71:AU71)-SUM($CH71:CX71)</f>
        <v>-130</v>
      </c>
      <c r="BX71" s="3">
        <f>SUM($AE71,$AF71:AV71)-SUM($CH71:CY71)</f>
        <v>-130</v>
      </c>
      <c r="BY71" s="3">
        <f>SUM($AE71,$AF71:AW71)-SUM($CH71:CZ71)</f>
        <v>-130</v>
      </c>
      <c r="BZ71" s="3">
        <f>SUM($AE71,$AF71:AX71)-SUM($CH71:DA71)</f>
        <v>-130</v>
      </c>
      <c r="CA71" s="3">
        <f>SUM($AE71,$AF71:AY71)-SUM($CH71:DB71)</f>
        <v>-130</v>
      </c>
      <c r="CB71" s="3">
        <f>SUM($AE71,$AF71:AZ71)-SUM($CH71:DC71)</f>
        <v>-130</v>
      </c>
      <c r="CC71" s="3">
        <f>SUM($AE71,$AF71:BA71)-SUM($CH71:DD71)</f>
        <v>-130</v>
      </c>
      <c r="CI71" s="3">
        <f t="array" ref="CI71">SUMPRODUCT($J71:$U71,TRANSPOSE(CI$3:CI$14))</f>
        <v>0</v>
      </c>
      <c r="CJ71" s="3">
        <f t="array" ref="CJ71">SUMPRODUCT($J71:$U71,TRANSPOSE(CJ$3:CJ$14))</f>
        <v>0</v>
      </c>
      <c r="CK71" s="3">
        <f t="array" ref="CK71">SUMPRODUCT($J71:$U71,TRANSPOSE(CK$3:CK$14))</f>
        <v>0</v>
      </c>
      <c r="CL71" s="3">
        <f t="array" ref="CL71">SUMPRODUCT($J71:$U71,TRANSPOSE(CL$3:CL$14))</f>
        <v>0</v>
      </c>
      <c r="CM71" s="3">
        <f t="array" ref="CM71">SUMPRODUCT($J71:$U71,TRANSPOSE(CM$3:CM$14))</f>
        <v>10</v>
      </c>
      <c r="CN71" s="3">
        <f t="array" ref="CN71">SUMPRODUCT($J71:$U71,TRANSPOSE(CN$3:CN$14))</f>
        <v>15</v>
      </c>
      <c r="CO71" s="3">
        <f t="array" ref="CO71">SUMPRODUCT($J71:$U71,TRANSPOSE(CO$3:CO$14))</f>
        <v>15</v>
      </c>
      <c r="CP71" s="3">
        <f t="array" ref="CP71">SUMPRODUCT($J71:$U71,TRANSPOSE(CP$3:CP$14))</f>
        <v>20</v>
      </c>
      <c r="CQ71" s="3">
        <f t="array" ref="CQ71">SUMPRODUCT($J71:$U71,TRANSPOSE(CQ$3:CQ$14))</f>
        <v>20</v>
      </c>
      <c r="CR71" s="3">
        <f t="array" ref="CR71">SUMPRODUCT($J71:$U71,TRANSPOSE(CR$3:CR$14))</f>
        <v>20</v>
      </c>
      <c r="CS71" s="3">
        <f t="array" ref="CS71">SUMPRODUCT($J71:$U71,TRANSPOSE(CS$3:CS$14))</f>
        <v>20</v>
      </c>
      <c r="CT71" s="3">
        <f t="array" ref="CT71">SUMPRODUCT($J71:$U71,TRANSPOSE(CT$3:CT$14))</f>
        <v>10</v>
      </c>
      <c r="CU71" s="3">
        <f t="array" ref="CU71">SUMPRODUCT($J71:$U71,TRANSPOSE(CU$3:CU$14))</f>
        <v>0</v>
      </c>
      <c r="CV71" s="3">
        <f t="array" ref="CV71">SUMPRODUCT($J71:$U71,TRANSPOSE(CV$3:CV$14))</f>
        <v>0</v>
      </c>
      <c r="CW71" s="3">
        <f t="array" ref="CW71">SUMPRODUCT($J71:$U71,TRANSPOSE(CW$3:CW$14))</f>
        <v>0</v>
      </c>
      <c r="CX71" s="3">
        <f t="array" ref="CX71">SUMPRODUCT($J71:$U71,TRANSPOSE(CX$3:CX$14))</f>
        <v>0</v>
      </c>
      <c r="CY71" s="3">
        <f t="array" ref="CY71">SUMPRODUCT($J71:$U71,TRANSPOSE(CY$3:CY$14))</f>
        <v>0</v>
      </c>
      <c r="CZ71" s="3">
        <f t="array" ref="CZ71">SUMPRODUCT($J71:$U71,TRANSPOSE(CZ$3:CZ$14))</f>
        <v>0</v>
      </c>
      <c r="DA71" s="3">
        <f t="array" ref="DA71">SUMPRODUCT($J71:$U71,TRANSPOSE(DA$3:DA$14))</f>
        <v>0</v>
      </c>
      <c r="DB71" s="3">
        <f t="array" ref="DB71">SUMPRODUCT($J71:$U71,TRANSPOSE(DB$3:DB$14))</f>
        <v>0</v>
      </c>
      <c r="DC71" s="3">
        <f t="array" ref="DC71">SUMPRODUCT($J71:$U71,TRANSPOSE(DC$3:DC$14))</f>
        <v>0</v>
      </c>
      <c r="DD71" s="3">
        <f t="array" ref="DD71">SUMPRODUCT($J71:$U71,TRANSPOSE(DD$3:DD$14))</f>
        <v>0</v>
      </c>
      <c r="DE71" s="3">
        <f t="array" ref="DE71">SUMPRODUCT($J71:$U71,TRANSPOSE(DE$3:DE$14))</f>
        <v>0</v>
      </c>
    </row>
    <row r="72" spans="1:109" ht="13.5" thickBot="1" x14ac:dyDescent="0.25">
      <c r="A72" s="3">
        <v>114</v>
      </c>
      <c r="B72" s="9" t="s">
        <v>484</v>
      </c>
      <c r="C72" s="3" t="s">
        <v>48</v>
      </c>
      <c r="D72" s="3">
        <v>401412775</v>
      </c>
      <c r="F72" s="3" t="s">
        <v>43</v>
      </c>
      <c r="G72" s="3" t="s">
        <v>14</v>
      </c>
      <c r="H72" s="3">
        <v>1</v>
      </c>
      <c r="I72" s="3">
        <v>4</v>
      </c>
      <c r="J72" s="3">
        <v>0</v>
      </c>
      <c r="K72" s="3">
        <v>2</v>
      </c>
      <c r="L72" s="3">
        <v>0</v>
      </c>
      <c r="M72" s="3">
        <v>0</v>
      </c>
      <c r="N72" s="3">
        <v>2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f t="shared" si="39"/>
        <v>4</v>
      </c>
      <c r="W72" s="3">
        <f t="shared" si="38"/>
        <v>520</v>
      </c>
      <c r="X72" s="8" t="s">
        <v>363</v>
      </c>
      <c r="Y72" s="3">
        <v>5.0999999999999996</v>
      </c>
      <c r="Z72" s="3" t="s">
        <v>462</v>
      </c>
      <c r="AA72" s="3" t="s">
        <v>463</v>
      </c>
      <c r="AB72" s="3" t="s">
        <v>464</v>
      </c>
      <c r="AC72" s="3" t="s">
        <v>465</v>
      </c>
      <c r="BJ72" s="3">
        <f>SUM($AE72,$AF72:AH72)-SUM($CH72:CK72)</f>
        <v>0</v>
      </c>
      <c r="BK72" s="3">
        <f>SUM($AE72,$AF72:AI72)-SUM($CH72:CL72)</f>
        <v>-40</v>
      </c>
      <c r="BL72" s="3">
        <f>SUM($AE72,$AF72:AJ72)-SUM($CH72:CM72)</f>
        <v>-100</v>
      </c>
      <c r="BM72" s="3">
        <f>SUM($AE72,$AF72:AK72)-SUM($CH72:CN72)</f>
        <v>-160</v>
      </c>
      <c r="BN72" s="3">
        <f>SUM($AE72,$AF72:AL72)-SUM($CH72:CO72)</f>
        <v>-240</v>
      </c>
      <c r="BO72" s="3">
        <f>SUM($AE72,$AF72:AM72)-SUM($CH72:CP72)</f>
        <v>-320</v>
      </c>
      <c r="BP72" s="3">
        <f>SUM($AE72,$AF72:AN72)-SUM($CH72:CQ72)</f>
        <v>-400</v>
      </c>
      <c r="BQ72" s="3">
        <f>SUM($AE72,$AF72:AO72)-SUM($CH72:CR72)</f>
        <v>-480</v>
      </c>
      <c r="BR72" s="3">
        <f>SUM($AE72,$AF72:AP72)-SUM($CH72:CS72)</f>
        <v>-520</v>
      </c>
      <c r="BS72" s="3">
        <f>SUM($AE72,$AF72:AQ72)-SUM($CH72:CT72)</f>
        <v>-520</v>
      </c>
      <c r="BT72" s="3">
        <f>SUM($AE72,$AF72:AR72)-SUM($CH72:CU72)</f>
        <v>-520</v>
      </c>
      <c r="BU72" s="3">
        <f>SUM($AE72,$AF72:AS72)-SUM($CH72:CV72)</f>
        <v>-520</v>
      </c>
      <c r="BV72" s="3">
        <f>SUM($AE72,$AF72:AT72)-SUM($CH72:CW72)</f>
        <v>-520</v>
      </c>
      <c r="BW72" s="3">
        <f>SUM($AE72,$AF72:AU72)-SUM($CH72:CX72)</f>
        <v>-520</v>
      </c>
      <c r="BX72" s="3">
        <f>SUM($AE72,$AF72:AV72)-SUM($CH72:CY72)</f>
        <v>-520</v>
      </c>
      <c r="BY72" s="3">
        <f>SUM($AE72,$AF72:AW72)-SUM($CH72:CZ72)</f>
        <v>-520</v>
      </c>
      <c r="BZ72" s="3">
        <f>SUM($AE72,$AF72:AX72)-SUM($CH72:DA72)</f>
        <v>-520</v>
      </c>
      <c r="CA72" s="3">
        <f>SUM($AE72,$AF72:AY72)-SUM($CH72:DB72)</f>
        <v>-520</v>
      </c>
      <c r="CB72" s="3">
        <f>SUM($AE72,$AF72:AZ72)-SUM($CH72:DC72)</f>
        <v>-520</v>
      </c>
      <c r="CC72" s="3">
        <f>SUM($AE72,$AF72:BA72)-SUM($CH72:DD72)</f>
        <v>-520</v>
      </c>
      <c r="CI72" s="3">
        <f t="array" ref="CI72">SUMPRODUCT($J72:$U72,TRANSPOSE(CI$3:CI$14))</f>
        <v>0</v>
      </c>
      <c r="CJ72" s="3">
        <f t="array" ref="CJ72">SUMPRODUCT($J72:$U72,TRANSPOSE(CJ$3:CJ$14))</f>
        <v>0</v>
      </c>
      <c r="CK72" s="3">
        <f t="array" ref="CK72">SUMPRODUCT($J72:$U72,TRANSPOSE(CK$3:CK$14))</f>
        <v>0</v>
      </c>
      <c r="CL72" s="3">
        <f t="array" ref="CL72">SUMPRODUCT($J72:$U72,TRANSPOSE(CL$3:CL$14))</f>
        <v>40</v>
      </c>
      <c r="CM72" s="3">
        <f t="array" ref="CM72">SUMPRODUCT($J72:$U72,TRANSPOSE(CM$3:CM$14))</f>
        <v>60</v>
      </c>
      <c r="CN72" s="3">
        <f t="array" ref="CN72">SUMPRODUCT($J72:$U72,TRANSPOSE(CN$3:CN$14))</f>
        <v>60</v>
      </c>
      <c r="CO72" s="3">
        <f t="array" ref="CO72">SUMPRODUCT($J72:$U72,TRANSPOSE(CO$3:CO$14))</f>
        <v>80</v>
      </c>
      <c r="CP72" s="3">
        <f t="array" ref="CP72">SUMPRODUCT($J72:$U72,TRANSPOSE(CP$3:CP$14))</f>
        <v>80</v>
      </c>
      <c r="CQ72" s="3">
        <f t="array" ref="CQ72">SUMPRODUCT($J72:$U72,TRANSPOSE(CQ$3:CQ$14))</f>
        <v>80</v>
      </c>
      <c r="CR72" s="3">
        <f t="array" ref="CR72">SUMPRODUCT($J72:$U72,TRANSPOSE(CR$3:CR$14))</f>
        <v>80</v>
      </c>
      <c r="CS72" s="3">
        <f t="array" ref="CS72">SUMPRODUCT($J72:$U72,TRANSPOSE(CS$3:CS$14))</f>
        <v>40</v>
      </c>
      <c r="CT72" s="3">
        <f t="array" ref="CT72">SUMPRODUCT($J72:$U72,TRANSPOSE(CT$3:CT$14))</f>
        <v>0</v>
      </c>
      <c r="CU72" s="3">
        <f t="array" ref="CU72">SUMPRODUCT($J72:$U72,TRANSPOSE(CU$3:CU$14))</f>
        <v>0</v>
      </c>
      <c r="CV72" s="3">
        <f t="array" ref="CV72">SUMPRODUCT($J72:$U72,TRANSPOSE(CV$3:CV$14))</f>
        <v>0</v>
      </c>
      <c r="CW72" s="3">
        <f t="array" ref="CW72">SUMPRODUCT($J72:$U72,TRANSPOSE(CW$3:CW$14))</f>
        <v>0</v>
      </c>
      <c r="CX72" s="3">
        <f t="array" ref="CX72">SUMPRODUCT($J72:$U72,TRANSPOSE(CX$3:CX$14))</f>
        <v>0</v>
      </c>
      <c r="CY72" s="3">
        <f t="array" ref="CY72">SUMPRODUCT($J72:$U72,TRANSPOSE(CY$3:CY$14))</f>
        <v>0</v>
      </c>
      <c r="CZ72" s="3">
        <f t="array" ref="CZ72">SUMPRODUCT($J72:$U72,TRANSPOSE(CZ$3:CZ$14))</f>
        <v>0</v>
      </c>
      <c r="DA72" s="3">
        <f t="array" ref="DA72">SUMPRODUCT($J72:$U72,TRANSPOSE(DA$3:DA$14))</f>
        <v>0</v>
      </c>
      <c r="DB72" s="3">
        <f t="array" ref="DB72">SUMPRODUCT($J72:$U72,TRANSPOSE(DB$3:DB$14))</f>
        <v>0</v>
      </c>
      <c r="DC72" s="3">
        <f t="array" ref="DC72">SUMPRODUCT($J72:$U72,TRANSPOSE(DC$3:DC$14))</f>
        <v>0</v>
      </c>
      <c r="DD72" s="3">
        <f t="array" ref="DD72">SUMPRODUCT($J72:$U72,TRANSPOSE(DD$3:DD$14))</f>
        <v>0</v>
      </c>
      <c r="DE72" s="3">
        <f t="array" ref="DE72">SUMPRODUCT($J72:$U72,TRANSPOSE(DE$3:DE$14))</f>
        <v>0</v>
      </c>
    </row>
    <row r="73" spans="1:109" ht="13.5" thickBot="1" x14ac:dyDescent="0.25">
      <c r="A73" s="3">
        <v>115</v>
      </c>
      <c r="B73" s="9" t="s">
        <v>485</v>
      </c>
      <c r="C73" s="3" t="s">
        <v>48</v>
      </c>
      <c r="D73" s="3">
        <v>401412776</v>
      </c>
      <c r="F73" s="3" t="s">
        <v>43</v>
      </c>
      <c r="G73" s="3" t="s">
        <v>14</v>
      </c>
      <c r="H73" s="3">
        <v>2</v>
      </c>
      <c r="I73" s="3">
        <v>4</v>
      </c>
      <c r="J73" s="3">
        <v>0</v>
      </c>
      <c r="K73" s="3">
        <v>2</v>
      </c>
      <c r="L73" s="3">
        <v>0</v>
      </c>
      <c r="M73" s="3">
        <v>0</v>
      </c>
      <c r="N73" s="3">
        <v>2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f t="shared" si="39"/>
        <v>4</v>
      </c>
      <c r="W73" s="3">
        <f t="shared" si="38"/>
        <v>520</v>
      </c>
      <c r="X73" s="8" t="s">
        <v>363</v>
      </c>
      <c r="Y73" s="3">
        <v>5.0999999999999996</v>
      </c>
      <c r="Z73" s="3" t="s">
        <v>462</v>
      </c>
      <c r="AA73" s="3" t="s">
        <v>463</v>
      </c>
      <c r="AB73" s="3" t="s">
        <v>464</v>
      </c>
      <c r="AC73" s="3" t="s">
        <v>465</v>
      </c>
      <c r="BJ73" s="3">
        <f>SUM($AE73,$AF73:AH73)-SUM($CH73:CK73)</f>
        <v>0</v>
      </c>
      <c r="BK73" s="3">
        <f>SUM($AE73,$AF73:AI73)-SUM($CH73:CL73)</f>
        <v>-40</v>
      </c>
      <c r="BL73" s="3">
        <f>SUM($AE73,$AF73:AJ73)-SUM($CH73:CM73)</f>
        <v>-100</v>
      </c>
      <c r="BM73" s="3">
        <f>SUM($AE73,$AF73:AK73)-SUM($CH73:CN73)</f>
        <v>-160</v>
      </c>
      <c r="BN73" s="3">
        <f>SUM($AE73,$AF73:AL73)-SUM($CH73:CO73)</f>
        <v>-240</v>
      </c>
      <c r="BO73" s="3">
        <f>SUM($AE73,$AF73:AM73)-SUM($CH73:CP73)</f>
        <v>-320</v>
      </c>
      <c r="BP73" s="3">
        <f>SUM($AE73,$AF73:AN73)-SUM($CH73:CQ73)</f>
        <v>-400</v>
      </c>
      <c r="BQ73" s="3">
        <f>SUM($AE73,$AF73:AO73)-SUM($CH73:CR73)</f>
        <v>-480</v>
      </c>
      <c r="BR73" s="3">
        <f>SUM($AE73,$AF73:AP73)-SUM($CH73:CS73)</f>
        <v>-520</v>
      </c>
      <c r="BS73" s="3">
        <f>SUM($AE73,$AF73:AQ73)-SUM($CH73:CT73)</f>
        <v>-520</v>
      </c>
      <c r="BT73" s="3">
        <f>SUM($AE73,$AF73:AR73)-SUM($CH73:CU73)</f>
        <v>-520</v>
      </c>
      <c r="BU73" s="3">
        <f>SUM($AE73,$AF73:AS73)-SUM($CH73:CV73)</f>
        <v>-520</v>
      </c>
      <c r="BV73" s="3">
        <f>SUM($AE73,$AF73:AT73)-SUM($CH73:CW73)</f>
        <v>-520</v>
      </c>
      <c r="BW73" s="3">
        <f>SUM($AE73,$AF73:AU73)-SUM($CH73:CX73)</f>
        <v>-520</v>
      </c>
      <c r="BX73" s="3">
        <f>SUM($AE73,$AF73:AV73)-SUM($CH73:CY73)</f>
        <v>-520</v>
      </c>
      <c r="BY73" s="3">
        <f>SUM($AE73,$AF73:AW73)-SUM($CH73:CZ73)</f>
        <v>-520</v>
      </c>
      <c r="BZ73" s="3">
        <f>SUM($AE73,$AF73:AX73)-SUM($CH73:DA73)</f>
        <v>-520</v>
      </c>
      <c r="CA73" s="3">
        <f>SUM($AE73,$AF73:AY73)-SUM($CH73:DB73)</f>
        <v>-520</v>
      </c>
      <c r="CB73" s="3">
        <f>SUM($AE73,$AF73:AZ73)-SUM($CH73:DC73)</f>
        <v>-520</v>
      </c>
      <c r="CC73" s="3">
        <f>SUM($AE73,$AF73:BA73)-SUM($CH73:DD73)</f>
        <v>-520</v>
      </c>
      <c r="CI73" s="3">
        <f t="array" ref="CI73">SUMPRODUCT($J73:$U73,TRANSPOSE(CI$3:CI$14))</f>
        <v>0</v>
      </c>
      <c r="CJ73" s="3">
        <f t="array" ref="CJ73">SUMPRODUCT($J73:$U73,TRANSPOSE(CJ$3:CJ$14))</f>
        <v>0</v>
      </c>
      <c r="CK73" s="3">
        <f t="array" ref="CK73">SUMPRODUCT($J73:$U73,TRANSPOSE(CK$3:CK$14))</f>
        <v>0</v>
      </c>
      <c r="CL73" s="3">
        <f t="array" ref="CL73">SUMPRODUCT($J73:$U73,TRANSPOSE(CL$3:CL$14))</f>
        <v>40</v>
      </c>
      <c r="CM73" s="3">
        <f t="array" ref="CM73">SUMPRODUCT($J73:$U73,TRANSPOSE(CM$3:CM$14))</f>
        <v>60</v>
      </c>
      <c r="CN73" s="3">
        <f t="array" ref="CN73">SUMPRODUCT($J73:$U73,TRANSPOSE(CN$3:CN$14))</f>
        <v>60</v>
      </c>
      <c r="CO73" s="3">
        <f t="array" ref="CO73">SUMPRODUCT($J73:$U73,TRANSPOSE(CO$3:CO$14))</f>
        <v>80</v>
      </c>
      <c r="CP73" s="3">
        <f t="array" ref="CP73">SUMPRODUCT($J73:$U73,TRANSPOSE(CP$3:CP$14))</f>
        <v>80</v>
      </c>
      <c r="CQ73" s="3">
        <f t="array" ref="CQ73">SUMPRODUCT($J73:$U73,TRANSPOSE(CQ$3:CQ$14))</f>
        <v>80</v>
      </c>
      <c r="CR73" s="3">
        <f t="array" ref="CR73">SUMPRODUCT($J73:$U73,TRANSPOSE(CR$3:CR$14))</f>
        <v>80</v>
      </c>
      <c r="CS73" s="3">
        <f t="array" ref="CS73">SUMPRODUCT($J73:$U73,TRANSPOSE(CS$3:CS$14))</f>
        <v>40</v>
      </c>
      <c r="CT73" s="3">
        <f t="array" ref="CT73">SUMPRODUCT($J73:$U73,TRANSPOSE(CT$3:CT$14))</f>
        <v>0</v>
      </c>
      <c r="CU73" s="3">
        <f t="array" ref="CU73">SUMPRODUCT($J73:$U73,TRANSPOSE(CU$3:CU$14))</f>
        <v>0</v>
      </c>
      <c r="CV73" s="3">
        <f t="array" ref="CV73">SUMPRODUCT($J73:$U73,TRANSPOSE(CV$3:CV$14))</f>
        <v>0</v>
      </c>
      <c r="CW73" s="3">
        <f t="array" ref="CW73">SUMPRODUCT($J73:$U73,TRANSPOSE(CW$3:CW$14))</f>
        <v>0</v>
      </c>
      <c r="CX73" s="3">
        <f t="array" ref="CX73">SUMPRODUCT($J73:$U73,TRANSPOSE(CX$3:CX$14))</f>
        <v>0</v>
      </c>
      <c r="CY73" s="3">
        <f t="array" ref="CY73">SUMPRODUCT($J73:$U73,TRANSPOSE(CY$3:CY$14))</f>
        <v>0</v>
      </c>
      <c r="CZ73" s="3">
        <f t="array" ref="CZ73">SUMPRODUCT($J73:$U73,TRANSPOSE(CZ$3:CZ$14))</f>
        <v>0</v>
      </c>
      <c r="DA73" s="3">
        <f t="array" ref="DA73">SUMPRODUCT($J73:$U73,TRANSPOSE(DA$3:DA$14))</f>
        <v>0</v>
      </c>
      <c r="DB73" s="3">
        <f t="array" ref="DB73">SUMPRODUCT($J73:$U73,TRANSPOSE(DB$3:DB$14))</f>
        <v>0</v>
      </c>
      <c r="DC73" s="3">
        <f t="array" ref="DC73">SUMPRODUCT($J73:$U73,TRANSPOSE(DC$3:DC$14))</f>
        <v>0</v>
      </c>
      <c r="DD73" s="3">
        <f t="array" ref="DD73">SUMPRODUCT($J73:$U73,TRANSPOSE(DD$3:DD$14))</f>
        <v>0</v>
      </c>
      <c r="DE73" s="3">
        <f t="array" ref="DE73">SUMPRODUCT($J73:$U73,TRANSPOSE(DE$3:DE$14))</f>
        <v>0</v>
      </c>
    </row>
    <row r="74" spans="1:109" ht="13.5" thickBot="1" x14ac:dyDescent="0.25">
      <c r="A74" s="3">
        <v>116</v>
      </c>
      <c r="B74" s="9" t="s">
        <v>486</v>
      </c>
      <c r="C74" s="3" t="s">
        <v>13</v>
      </c>
      <c r="D74" s="3">
        <v>401415925</v>
      </c>
      <c r="F74" s="3" t="s">
        <v>470</v>
      </c>
      <c r="G74" s="3" t="s">
        <v>14</v>
      </c>
      <c r="H74" s="3">
        <v>1</v>
      </c>
      <c r="I74" s="3">
        <v>4</v>
      </c>
      <c r="J74" s="3">
        <v>0</v>
      </c>
      <c r="K74" s="3">
        <v>2</v>
      </c>
      <c r="L74" s="3">
        <v>0</v>
      </c>
      <c r="M74" s="3">
        <v>0</v>
      </c>
      <c r="N74" s="3">
        <v>2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f t="shared" si="39"/>
        <v>4</v>
      </c>
      <c r="W74" s="3">
        <f t="shared" si="38"/>
        <v>520</v>
      </c>
      <c r="X74" s="8" t="s">
        <v>363</v>
      </c>
      <c r="Y74" s="3">
        <v>0.96</v>
      </c>
      <c r="Z74" s="3" t="s">
        <v>364</v>
      </c>
      <c r="AA74" s="3" t="s">
        <v>365</v>
      </c>
      <c r="AB74" s="3" t="s">
        <v>366</v>
      </c>
      <c r="AC74" s="3" t="s">
        <v>367</v>
      </c>
      <c r="BJ74" s="3">
        <f>SUM($AE74,$AF74:AH74)-SUM($CH74:CK74)</f>
        <v>0</v>
      </c>
      <c r="BK74" s="3">
        <f>SUM($AE74,$AF74:AI74)-SUM($CH74:CL74)</f>
        <v>-40</v>
      </c>
      <c r="BL74" s="3">
        <f>SUM($AE74,$AF74:AJ74)-SUM($CH74:CM74)</f>
        <v>-100</v>
      </c>
      <c r="BM74" s="3">
        <f>SUM($AE74,$AF74:AK74)-SUM($CH74:CN74)</f>
        <v>-160</v>
      </c>
      <c r="BN74" s="3">
        <f>SUM($AE74,$AF74:AL74)-SUM($CH74:CO74)</f>
        <v>-240</v>
      </c>
      <c r="BO74" s="3">
        <f>SUM($AE74,$AF74:AM74)-SUM($CH74:CP74)</f>
        <v>-320</v>
      </c>
      <c r="BP74" s="3">
        <f>SUM($AE74,$AF74:AN74)-SUM($CH74:CQ74)</f>
        <v>-400</v>
      </c>
      <c r="BQ74" s="3">
        <f>SUM($AE74,$AF74:AO74)-SUM($CH74:CR74)</f>
        <v>-480</v>
      </c>
      <c r="BR74" s="3">
        <f>SUM($AE74,$AF74:AP74)-SUM($CH74:CS74)</f>
        <v>-520</v>
      </c>
      <c r="BS74" s="3">
        <f>SUM($AE74,$AF74:AQ74)-SUM($CH74:CT74)</f>
        <v>-520</v>
      </c>
      <c r="BT74" s="3">
        <f>SUM($AE74,$AF74:AR74)-SUM($CH74:CU74)</f>
        <v>-520</v>
      </c>
      <c r="BU74" s="3">
        <f>SUM($AE74,$AF74:AS74)-SUM($CH74:CV74)</f>
        <v>-520</v>
      </c>
      <c r="BV74" s="3">
        <f>SUM($AE74,$AF74:AT74)-SUM($CH74:CW74)</f>
        <v>-520</v>
      </c>
      <c r="BW74" s="3">
        <f>SUM($AE74,$AF74:AU74)-SUM($CH74:CX74)</f>
        <v>-520</v>
      </c>
      <c r="BX74" s="3">
        <f>SUM($AE74,$AF74:AV74)-SUM($CH74:CY74)</f>
        <v>-520</v>
      </c>
      <c r="BY74" s="3">
        <f>SUM($AE74,$AF74:AW74)-SUM($CH74:CZ74)</f>
        <v>-520</v>
      </c>
      <c r="BZ74" s="3">
        <f>SUM($AE74,$AF74:AX74)-SUM($CH74:DA74)</f>
        <v>-520</v>
      </c>
      <c r="CA74" s="3">
        <f>SUM($AE74,$AF74:AY74)-SUM($CH74:DB74)</f>
        <v>-520</v>
      </c>
      <c r="CB74" s="3">
        <f>SUM($AE74,$AF74:AZ74)-SUM($CH74:DC74)</f>
        <v>-520</v>
      </c>
      <c r="CC74" s="3">
        <f>SUM($AE74,$AF74:BA74)-SUM($CH74:DD74)</f>
        <v>-520</v>
      </c>
      <c r="CI74" s="3">
        <f t="array" ref="CI74">SUMPRODUCT($J74:$U74,TRANSPOSE(CI$3:CI$14))</f>
        <v>0</v>
      </c>
      <c r="CJ74" s="3">
        <f t="array" ref="CJ74">SUMPRODUCT($J74:$U74,TRANSPOSE(CJ$3:CJ$14))</f>
        <v>0</v>
      </c>
      <c r="CK74" s="3">
        <f t="array" ref="CK74">SUMPRODUCT($J74:$U74,TRANSPOSE(CK$3:CK$14))</f>
        <v>0</v>
      </c>
      <c r="CL74" s="3">
        <f t="array" ref="CL74">SUMPRODUCT($J74:$U74,TRANSPOSE(CL$3:CL$14))</f>
        <v>40</v>
      </c>
      <c r="CM74" s="3">
        <f t="array" ref="CM74">SUMPRODUCT($J74:$U74,TRANSPOSE(CM$3:CM$14))</f>
        <v>60</v>
      </c>
      <c r="CN74" s="3">
        <f t="array" ref="CN74">SUMPRODUCT($J74:$U74,TRANSPOSE(CN$3:CN$14))</f>
        <v>60</v>
      </c>
      <c r="CO74" s="3">
        <f t="array" ref="CO74">SUMPRODUCT($J74:$U74,TRANSPOSE(CO$3:CO$14))</f>
        <v>80</v>
      </c>
      <c r="CP74" s="3">
        <f t="array" ref="CP74">SUMPRODUCT($J74:$U74,TRANSPOSE(CP$3:CP$14))</f>
        <v>80</v>
      </c>
      <c r="CQ74" s="3">
        <f t="array" ref="CQ74">SUMPRODUCT($J74:$U74,TRANSPOSE(CQ$3:CQ$14))</f>
        <v>80</v>
      </c>
      <c r="CR74" s="3">
        <f t="array" ref="CR74">SUMPRODUCT($J74:$U74,TRANSPOSE(CR$3:CR$14))</f>
        <v>80</v>
      </c>
      <c r="CS74" s="3">
        <f t="array" ref="CS74">SUMPRODUCT($J74:$U74,TRANSPOSE(CS$3:CS$14))</f>
        <v>40</v>
      </c>
      <c r="CT74" s="3">
        <f t="array" ref="CT74">SUMPRODUCT($J74:$U74,TRANSPOSE(CT$3:CT$14))</f>
        <v>0</v>
      </c>
      <c r="CU74" s="3">
        <f t="array" ref="CU74">SUMPRODUCT($J74:$U74,TRANSPOSE(CU$3:CU$14))</f>
        <v>0</v>
      </c>
      <c r="CV74" s="3">
        <f t="array" ref="CV74">SUMPRODUCT($J74:$U74,TRANSPOSE(CV$3:CV$14))</f>
        <v>0</v>
      </c>
      <c r="CW74" s="3">
        <f t="array" ref="CW74">SUMPRODUCT($J74:$U74,TRANSPOSE(CW$3:CW$14))</f>
        <v>0</v>
      </c>
      <c r="CX74" s="3">
        <f t="array" ref="CX74">SUMPRODUCT($J74:$U74,TRANSPOSE(CX$3:CX$14))</f>
        <v>0</v>
      </c>
      <c r="CY74" s="3">
        <f t="array" ref="CY74">SUMPRODUCT($J74:$U74,TRANSPOSE(CY$3:CY$14))</f>
        <v>0</v>
      </c>
      <c r="CZ74" s="3">
        <f t="array" ref="CZ74">SUMPRODUCT($J74:$U74,TRANSPOSE(CZ$3:CZ$14))</f>
        <v>0</v>
      </c>
      <c r="DA74" s="3">
        <f t="array" ref="DA74">SUMPRODUCT($J74:$U74,TRANSPOSE(DA$3:DA$14))</f>
        <v>0</v>
      </c>
      <c r="DB74" s="3">
        <f t="array" ref="DB74">SUMPRODUCT($J74:$U74,TRANSPOSE(DB$3:DB$14))</f>
        <v>0</v>
      </c>
      <c r="DC74" s="3">
        <f t="array" ref="DC74">SUMPRODUCT($J74:$U74,TRANSPOSE(DC$3:DC$14))</f>
        <v>0</v>
      </c>
      <c r="DD74" s="3">
        <f t="array" ref="DD74">SUMPRODUCT($J74:$U74,TRANSPOSE(DD$3:DD$14))</f>
        <v>0</v>
      </c>
      <c r="DE74" s="3">
        <f t="array" ref="DE74">SUMPRODUCT($J74:$U74,TRANSPOSE(DE$3:DE$14))</f>
        <v>0</v>
      </c>
    </row>
    <row r="75" spans="1:109" ht="13.5" thickBot="1" x14ac:dyDescent="0.25">
      <c r="A75" s="3">
        <v>117</v>
      </c>
      <c r="B75" s="9" t="s">
        <v>487</v>
      </c>
      <c r="C75" s="3" t="s">
        <v>13</v>
      </c>
      <c r="D75" s="3">
        <v>401415926</v>
      </c>
      <c r="F75" s="3" t="s">
        <v>470</v>
      </c>
      <c r="G75" s="3" t="s">
        <v>14</v>
      </c>
      <c r="H75" s="3">
        <v>2</v>
      </c>
      <c r="I75" s="3">
        <v>4</v>
      </c>
      <c r="J75" s="3">
        <v>0</v>
      </c>
      <c r="K75" s="3">
        <v>2</v>
      </c>
      <c r="L75" s="3">
        <v>0</v>
      </c>
      <c r="M75" s="3">
        <v>0</v>
      </c>
      <c r="N75" s="3">
        <v>2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f t="shared" si="39"/>
        <v>4</v>
      </c>
      <c r="W75" s="3">
        <f t="shared" si="38"/>
        <v>520</v>
      </c>
      <c r="X75" s="8" t="s">
        <v>363</v>
      </c>
      <c r="Y75" s="3">
        <v>1.9</v>
      </c>
      <c r="Z75" s="3" t="s">
        <v>364</v>
      </c>
      <c r="AA75" s="3" t="s">
        <v>365</v>
      </c>
      <c r="AB75" s="3" t="s">
        <v>366</v>
      </c>
      <c r="AC75" s="3" t="s">
        <v>367</v>
      </c>
      <c r="BJ75" s="3">
        <f>SUM($AE75,$AF75:AH75)-SUM($CH75:CK75)</f>
        <v>0</v>
      </c>
      <c r="BK75" s="3">
        <f>SUM($AE75,$AF75:AI75)-SUM($CH75:CL75)</f>
        <v>-40</v>
      </c>
      <c r="BL75" s="3">
        <f>SUM($AE75,$AF75:AJ75)-SUM($CH75:CM75)</f>
        <v>-100</v>
      </c>
      <c r="BM75" s="3">
        <f>SUM($AE75,$AF75:AK75)-SUM($CH75:CN75)</f>
        <v>-160</v>
      </c>
      <c r="BN75" s="3">
        <f>SUM($AE75,$AF75:AL75)-SUM($CH75:CO75)</f>
        <v>-240</v>
      </c>
      <c r="BO75" s="3">
        <f>SUM($AE75,$AF75:AM75)-SUM($CH75:CP75)</f>
        <v>-320</v>
      </c>
      <c r="BP75" s="3">
        <f>SUM($AE75,$AF75:AN75)-SUM($CH75:CQ75)</f>
        <v>-400</v>
      </c>
      <c r="BQ75" s="3">
        <f>SUM($AE75,$AF75:AO75)-SUM($CH75:CR75)</f>
        <v>-480</v>
      </c>
      <c r="BR75" s="3">
        <f>SUM($AE75,$AF75:AP75)-SUM($CH75:CS75)</f>
        <v>-520</v>
      </c>
      <c r="BS75" s="3">
        <f>SUM($AE75,$AF75:AQ75)-SUM($CH75:CT75)</f>
        <v>-520</v>
      </c>
      <c r="BT75" s="3">
        <f>SUM($AE75,$AF75:AR75)-SUM($CH75:CU75)</f>
        <v>-520</v>
      </c>
      <c r="BU75" s="3">
        <f>SUM($AE75,$AF75:AS75)-SUM($CH75:CV75)</f>
        <v>-520</v>
      </c>
      <c r="BV75" s="3">
        <f>SUM($AE75,$AF75:AT75)-SUM($CH75:CW75)</f>
        <v>-520</v>
      </c>
      <c r="BW75" s="3">
        <f>SUM($AE75,$AF75:AU75)-SUM($CH75:CX75)</f>
        <v>-520</v>
      </c>
      <c r="BX75" s="3">
        <f>SUM($AE75,$AF75:AV75)-SUM($CH75:CY75)</f>
        <v>-520</v>
      </c>
      <c r="BY75" s="3">
        <f>SUM($AE75,$AF75:AW75)-SUM($CH75:CZ75)</f>
        <v>-520</v>
      </c>
      <c r="BZ75" s="3">
        <f>SUM($AE75,$AF75:AX75)-SUM($CH75:DA75)</f>
        <v>-520</v>
      </c>
      <c r="CA75" s="3">
        <f>SUM($AE75,$AF75:AY75)-SUM($CH75:DB75)</f>
        <v>-520</v>
      </c>
      <c r="CB75" s="3">
        <f>SUM($AE75,$AF75:AZ75)-SUM($CH75:DC75)</f>
        <v>-520</v>
      </c>
      <c r="CC75" s="3">
        <f>SUM($AE75,$AF75:BA75)-SUM($CH75:DD75)</f>
        <v>-520</v>
      </c>
      <c r="CI75" s="3">
        <f t="array" ref="CI75">SUMPRODUCT($J75:$U75,TRANSPOSE(CI$3:CI$14))</f>
        <v>0</v>
      </c>
      <c r="CJ75" s="3">
        <f t="array" ref="CJ75">SUMPRODUCT($J75:$U75,TRANSPOSE(CJ$3:CJ$14))</f>
        <v>0</v>
      </c>
      <c r="CK75" s="3">
        <f t="array" ref="CK75">SUMPRODUCT($J75:$U75,TRANSPOSE(CK$3:CK$14))</f>
        <v>0</v>
      </c>
      <c r="CL75" s="3">
        <f t="array" ref="CL75">SUMPRODUCT($J75:$U75,TRANSPOSE(CL$3:CL$14))</f>
        <v>40</v>
      </c>
      <c r="CM75" s="3">
        <f t="array" ref="CM75">SUMPRODUCT($J75:$U75,TRANSPOSE(CM$3:CM$14))</f>
        <v>60</v>
      </c>
      <c r="CN75" s="3">
        <f t="array" ref="CN75">SUMPRODUCT($J75:$U75,TRANSPOSE(CN$3:CN$14))</f>
        <v>60</v>
      </c>
      <c r="CO75" s="3">
        <f t="array" ref="CO75">SUMPRODUCT($J75:$U75,TRANSPOSE(CO$3:CO$14))</f>
        <v>80</v>
      </c>
      <c r="CP75" s="3">
        <f t="array" ref="CP75">SUMPRODUCT($J75:$U75,TRANSPOSE(CP$3:CP$14))</f>
        <v>80</v>
      </c>
      <c r="CQ75" s="3">
        <f t="array" ref="CQ75">SUMPRODUCT($J75:$U75,TRANSPOSE(CQ$3:CQ$14))</f>
        <v>80</v>
      </c>
      <c r="CR75" s="3">
        <f t="array" ref="CR75">SUMPRODUCT($J75:$U75,TRANSPOSE(CR$3:CR$14))</f>
        <v>80</v>
      </c>
      <c r="CS75" s="3">
        <f t="array" ref="CS75">SUMPRODUCT($J75:$U75,TRANSPOSE(CS$3:CS$14))</f>
        <v>40</v>
      </c>
      <c r="CT75" s="3">
        <f t="array" ref="CT75">SUMPRODUCT($J75:$U75,TRANSPOSE(CT$3:CT$14))</f>
        <v>0</v>
      </c>
      <c r="CU75" s="3">
        <f t="array" ref="CU75">SUMPRODUCT($J75:$U75,TRANSPOSE(CU$3:CU$14))</f>
        <v>0</v>
      </c>
      <c r="CV75" s="3">
        <f t="array" ref="CV75">SUMPRODUCT($J75:$U75,TRANSPOSE(CV$3:CV$14))</f>
        <v>0</v>
      </c>
      <c r="CW75" s="3">
        <f t="array" ref="CW75">SUMPRODUCT($J75:$U75,TRANSPOSE(CW$3:CW$14))</f>
        <v>0</v>
      </c>
      <c r="CX75" s="3">
        <f t="array" ref="CX75">SUMPRODUCT($J75:$U75,TRANSPOSE(CX$3:CX$14))</f>
        <v>0</v>
      </c>
      <c r="CY75" s="3">
        <f t="array" ref="CY75">SUMPRODUCT($J75:$U75,TRANSPOSE(CY$3:CY$14))</f>
        <v>0</v>
      </c>
      <c r="CZ75" s="3">
        <f t="array" ref="CZ75">SUMPRODUCT($J75:$U75,TRANSPOSE(CZ$3:CZ$14))</f>
        <v>0</v>
      </c>
      <c r="DA75" s="3">
        <f t="array" ref="DA75">SUMPRODUCT($J75:$U75,TRANSPOSE(DA$3:DA$14))</f>
        <v>0</v>
      </c>
      <c r="DB75" s="3">
        <f t="array" ref="DB75">SUMPRODUCT($J75:$U75,TRANSPOSE(DB$3:DB$14))</f>
        <v>0</v>
      </c>
      <c r="DC75" s="3">
        <f t="array" ref="DC75">SUMPRODUCT($J75:$U75,TRANSPOSE(DC$3:DC$14))</f>
        <v>0</v>
      </c>
      <c r="DD75" s="3">
        <f t="array" ref="DD75">SUMPRODUCT($J75:$U75,TRANSPOSE(DD$3:DD$14))</f>
        <v>0</v>
      </c>
      <c r="DE75" s="3">
        <f t="array" ref="DE75">SUMPRODUCT($J75:$U75,TRANSPOSE(DE$3:DE$14))</f>
        <v>0</v>
      </c>
    </row>
    <row r="76" spans="1:109" ht="13.5" thickBot="1" x14ac:dyDescent="0.25">
      <c r="A76" s="3">
        <v>118</v>
      </c>
      <c r="B76" s="9" t="s">
        <v>488</v>
      </c>
      <c r="C76" s="3" t="s">
        <v>13</v>
      </c>
      <c r="D76" s="3">
        <v>401424465</v>
      </c>
      <c r="F76" s="3" t="s">
        <v>470</v>
      </c>
      <c r="G76" s="3" t="s">
        <v>14</v>
      </c>
      <c r="H76" s="3">
        <v>1</v>
      </c>
      <c r="I76" s="3">
        <v>1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f t="shared" si="39"/>
        <v>1</v>
      </c>
      <c r="W76" s="3">
        <f t="shared" si="38"/>
        <v>130</v>
      </c>
      <c r="X76" s="8" t="s">
        <v>363</v>
      </c>
      <c r="Y76" s="3">
        <v>2.2999999999999998</v>
      </c>
      <c r="Z76" s="3" t="s">
        <v>364</v>
      </c>
      <c r="AA76" s="3" t="s">
        <v>365</v>
      </c>
      <c r="AB76" s="3" t="s">
        <v>366</v>
      </c>
      <c r="AC76" s="3" t="s">
        <v>367</v>
      </c>
      <c r="BJ76" s="3">
        <f>SUM($AE76,$AF76:AH76)-SUM($CH76:CK76)</f>
        <v>0</v>
      </c>
      <c r="BK76" s="3">
        <f>SUM($AE76,$AF76:AI76)-SUM($CH76:CL76)</f>
        <v>-10</v>
      </c>
      <c r="BL76" s="3">
        <f>SUM($AE76,$AF76:AJ76)-SUM($CH76:CM76)</f>
        <v>-25</v>
      </c>
      <c r="BM76" s="3">
        <f>SUM($AE76,$AF76:AK76)-SUM($CH76:CN76)</f>
        <v>-40</v>
      </c>
      <c r="BN76" s="3">
        <f>SUM($AE76,$AF76:AL76)-SUM($CH76:CO76)</f>
        <v>-60</v>
      </c>
      <c r="BO76" s="3">
        <f>SUM($AE76,$AF76:AM76)-SUM($CH76:CP76)</f>
        <v>-80</v>
      </c>
      <c r="BP76" s="3">
        <f>SUM($AE76,$AF76:AN76)-SUM($CH76:CQ76)</f>
        <v>-100</v>
      </c>
      <c r="BQ76" s="3">
        <f>SUM($AE76,$AF76:AO76)-SUM($CH76:CR76)</f>
        <v>-120</v>
      </c>
      <c r="BR76" s="3">
        <f>SUM($AE76,$AF76:AP76)-SUM($CH76:CS76)</f>
        <v>-130</v>
      </c>
      <c r="BS76" s="3">
        <f>SUM($AE76,$AF76:AQ76)-SUM($CH76:CT76)</f>
        <v>-130</v>
      </c>
      <c r="BT76" s="3">
        <f>SUM($AE76,$AF76:AR76)-SUM($CH76:CU76)</f>
        <v>-130</v>
      </c>
      <c r="BU76" s="3">
        <f>SUM($AE76,$AF76:AS76)-SUM($CH76:CV76)</f>
        <v>-130</v>
      </c>
      <c r="BV76" s="3">
        <f>SUM($AE76,$AF76:AT76)-SUM($CH76:CW76)</f>
        <v>-130</v>
      </c>
      <c r="BW76" s="3">
        <f>SUM($AE76,$AF76:AU76)-SUM($CH76:CX76)</f>
        <v>-130</v>
      </c>
      <c r="BX76" s="3">
        <f>SUM($AE76,$AF76:AV76)-SUM($CH76:CY76)</f>
        <v>-130</v>
      </c>
      <c r="BY76" s="3">
        <f>SUM($AE76,$AF76:AW76)-SUM($CH76:CZ76)</f>
        <v>-130</v>
      </c>
      <c r="BZ76" s="3">
        <f>SUM($AE76,$AF76:AX76)-SUM($CH76:DA76)</f>
        <v>-130</v>
      </c>
      <c r="CA76" s="3">
        <f>SUM($AE76,$AF76:AY76)-SUM($CH76:DB76)</f>
        <v>-130</v>
      </c>
      <c r="CB76" s="3">
        <f>SUM($AE76,$AF76:AZ76)-SUM($CH76:DC76)</f>
        <v>-130</v>
      </c>
      <c r="CC76" s="3">
        <f>SUM($AE76,$AF76:BA76)-SUM($CH76:DD76)</f>
        <v>-130</v>
      </c>
      <c r="CI76" s="3">
        <f t="array" ref="CI76">SUMPRODUCT($J76:$U76,TRANSPOSE(CI$3:CI$14))</f>
        <v>0</v>
      </c>
      <c r="CJ76" s="3">
        <f t="array" ref="CJ76">SUMPRODUCT($J76:$U76,TRANSPOSE(CJ$3:CJ$14))</f>
        <v>0</v>
      </c>
      <c r="CK76" s="3">
        <f t="array" ref="CK76">SUMPRODUCT($J76:$U76,TRANSPOSE(CK$3:CK$14))</f>
        <v>0</v>
      </c>
      <c r="CL76" s="3">
        <f t="array" ref="CL76">SUMPRODUCT($J76:$U76,TRANSPOSE(CL$3:CL$14))</f>
        <v>10</v>
      </c>
      <c r="CM76" s="3">
        <f t="array" ref="CM76">SUMPRODUCT($J76:$U76,TRANSPOSE(CM$3:CM$14))</f>
        <v>15</v>
      </c>
      <c r="CN76" s="3">
        <f t="array" ref="CN76">SUMPRODUCT($J76:$U76,TRANSPOSE(CN$3:CN$14))</f>
        <v>15</v>
      </c>
      <c r="CO76" s="3">
        <f t="array" ref="CO76">SUMPRODUCT($J76:$U76,TRANSPOSE(CO$3:CO$14))</f>
        <v>20</v>
      </c>
      <c r="CP76" s="3">
        <f t="array" ref="CP76">SUMPRODUCT($J76:$U76,TRANSPOSE(CP$3:CP$14))</f>
        <v>20</v>
      </c>
      <c r="CQ76" s="3">
        <f t="array" ref="CQ76">SUMPRODUCT($J76:$U76,TRANSPOSE(CQ$3:CQ$14))</f>
        <v>20</v>
      </c>
      <c r="CR76" s="3">
        <f t="array" ref="CR76">SUMPRODUCT($J76:$U76,TRANSPOSE(CR$3:CR$14))</f>
        <v>20</v>
      </c>
      <c r="CS76" s="3">
        <f t="array" ref="CS76">SUMPRODUCT($J76:$U76,TRANSPOSE(CS$3:CS$14))</f>
        <v>10</v>
      </c>
      <c r="CT76" s="3">
        <f t="array" ref="CT76">SUMPRODUCT($J76:$U76,TRANSPOSE(CT$3:CT$14))</f>
        <v>0</v>
      </c>
      <c r="CU76" s="3">
        <f t="array" ref="CU76">SUMPRODUCT($J76:$U76,TRANSPOSE(CU$3:CU$14))</f>
        <v>0</v>
      </c>
      <c r="CV76" s="3">
        <f t="array" ref="CV76">SUMPRODUCT($J76:$U76,TRANSPOSE(CV$3:CV$14))</f>
        <v>0</v>
      </c>
      <c r="CW76" s="3">
        <f t="array" ref="CW76">SUMPRODUCT($J76:$U76,TRANSPOSE(CW$3:CW$14))</f>
        <v>0</v>
      </c>
      <c r="CX76" s="3">
        <f t="array" ref="CX76">SUMPRODUCT($J76:$U76,TRANSPOSE(CX$3:CX$14))</f>
        <v>0</v>
      </c>
      <c r="CY76" s="3">
        <f t="array" ref="CY76">SUMPRODUCT($J76:$U76,TRANSPOSE(CY$3:CY$14))</f>
        <v>0</v>
      </c>
      <c r="CZ76" s="3">
        <f t="array" ref="CZ76">SUMPRODUCT($J76:$U76,TRANSPOSE(CZ$3:CZ$14))</f>
        <v>0</v>
      </c>
      <c r="DA76" s="3">
        <f t="array" ref="DA76">SUMPRODUCT($J76:$U76,TRANSPOSE(DA$3:DA$14))</f>
        <v>0</v>
      </c>
      <c r="DB76" s="3">
        <f t="array" ref="DB76">SUMPRODUCT($J76:$U76,TRANSPOSE(DB$3:DB$14))</f>
        <v>0</v>
      </c>
      <c r="DC76" s="3">
        <f t="array" ref="DC76">SUMPRODUCT($J76:$U76,TRANSPOSE(DC$3:DC$14))</f>
        <v>0</v>
      </c>
      <c r="DD76" s="3">
        <f t="array" ref="DD76">SUMPRODUCT($J76:$U76,TRANSPOSE(DD$3:DD$14))</f>
        <v>0</v>
      </c>
      <c r="DE76" s="3">
        <f t="array" ref="DE76">SUMPRODUCT($J76:$U76,TRANSPOSE(DE$3:DE$14))</f>
        <v>0</v>
      </c>
    </row>
    <row r="77" spans="1:109" ht="13.5" thickBot="1" x14ac:dyDescent="0.25">
      <c r="A77" s="3">
        <v>122</v>
      </c>
      <c r="B77" s="9" t="s">
        <v>489</v>
      </c>
      <c r="C77" s="3" t="s">
        <v>13</v>
      </c>
      <c r="D77" s="3">
        <v>401429709</v>
      </c>
      <c r="F77" s="3" t="s">
        <v>64</v>
      </c>
      <c r="G77" s="3" t="s">
        <v>14</v>
      </c>
      <c r="H77" s="3">
        <v>1</v>
      </c>
      <c r="I77" s="3">
        <v>4</v>
      </c>
      <c r="J77" s="3">
        <v>0</v>
      </c>
      <c r="K77" s="3">
        <v>2</v>
      </c>
      <c r="L77" s="3">
        <v>0</v>
      </c>
      <c r="M77" s="3">
        <v>0</v>
      </c>
      <c r="N77" s="3">
        <v>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f t="shared" si="39"/>
        <v>4</v>
      </c>
      <c r="W77" s="3">
        <f t="shared" si="38"/>
        <v>520</v>
      </c>
      <c r="X77" s="8" t="s">
        <v>363</v>
      </c>
      <c r="Y77" s="3">
        <v>2.7</v>
      </c>
      <c r="Z77" s="3" t="s">
        <v>51</v>
      </c>
      <c r="AA77" s="3" t="s">
        <v>52</v>
      </c>
      <c r="AB77" s="3" t="s">
        <v>53</v>
      </c>
      <c r="AC77" s="3" t="s">
        <v>54</v>
      </c>
      <c r="BJ77" s="3">
        <f>SUM($AE77,$AF77:AH77)-SUM($CH77:CK77)</f>
        <v>0</v>
      </c>
      <c r="BK77" s="3">
        <f>SUM($AE77,$AF77:AI77)-SUM($CH77:CL77)</f>
        <v>-40</v>
      </c>
      <c r="BL77" s="3">
        <f>SUM($AE77,$AF77:AJ77)-SUM($CH77:CM77)</f>
        <v>-100</v>
      </c>
      <c r="BM77" s="3">
        <f>SUM($AE77,$AF77:AK77)-SUM($CH77:CN77)</f>
        <v>-160</v>
      </c>
      <c r="BN77" s="3">
        <f>SUM($AE77,$AF77:AL77)-SUM($CH77:CO77)</f>
        <v>-240</v>
      </c>
      <c r="BO77" s="3">
        <f>SUM($AE77,$AF77:AM77)-SUM($CH77:CP77)</f>
        <v>-320</v>
      </c>
      <c r="BP77" s="3">
        <f>SUM($AE77,$AF77:AN77)-SUM($CH77:CQ77)</f>
        <v>-400</v>
      </c>
      <c r="BQ77" s="3">
        <f>SUM($AE77,$AF77:AO77)-SUM($CH77:CR77)</f>
        <v>-480</v>
      </c>
      <c r="BR77" s="3">
        <f>SUM($AE77,$AF77:AP77)-SUM($CH77:CS77)</f>
        <v>-520</v>
      </c>
      <c r="BS77" s="3">
        <f>SUM($AE77,$AF77:AQ77)-SUM($CH77:CT77)</f>
        <v>-520</v>
      </c>
      <c r="BT77" s="3">
        <f>SUM($AE77,$AF77:AR77)-SUM($CH77:CU77)</f>
        <v>-520</v>
      </c>
      <c r="BU77" s="3">
        <f>SUM($AE77,$AF77:AS77)-SUM($CH77:CV77)</f>
        <v>-520</v>
      </c>
      <c r="BV77" s="3">
        <f>SUM($AE77,$AF77:AT77)-SUM($CH77:CW77)</f>
        <v>-520</v>
      </c>
      <c r="BW77" s="3">
        <f>SUM($AE77,$AF77:AU77)-SUM($CH77:CX77)</f>
        <v>-520</v>
      </c>
      <c r="BX77" s="3">
        <f>SUM($AE77,$AF77:AV77)-SUM($CH77:CY77)</f>
        <v>-520</v>
      </c>
      <c r="BY77" s="3">
        <f>SUM($AE77,$AF77:AW77)-SUM($CH77:CZ77)</f>
        <v>-520</v>
      </c>
      <c r="BZ77" s="3">
        <f>SUM($AE77,$AF77:AX77)-SUM($CH77:DA77)</f>
        <v>-520</v>
      </c>
      <c r="CA77" s="3">
        <f>SUM($AE77,$AF77:AY77)-SUM($CH77:DB77)</f>
        <v>-520</v>
      </c>
      <c r="CB77" s="3">
        <f>SUM($AE77,$AF77:AZ77)-SUM($CH77:DC77)</f>
        <v>-520</v>
      </c>
      <c r="CC77" s="3">
        <f>SUM($AE77,$AF77:BA77)-SUM($CH77:DD77)</f>
        <v>-520</v>
      </c>
      <c r="CI77" s="3">
        <f t="array" ref="CI77">SUMPRODUCT($J77:$U77,TRANSPOSE(CI$3:CI$14))</f>
        <v>0</v>
      </c>
      <c r="CJ77" s="3">
        <f t="array" ref="CJ77">SUMPRODUCT($J77:$U77,TRANSPOSE(CJ$3:CJ$14))</f>
        <v>0</v>
      </c>
      <c r="CK77" s="3">
        <f t="array" ref="CK77">SUMPRODUCT($J77:$U77,TRANSPOSE(CK$3:CK$14))</f>
        <v>0</v>
      </c>
      <c r="CL77" s="3">
        <f t="array" ref="CL77">SUMPRODUCT($J77:$U77,TRANSPOSE(CL$3:CL$14))</f>
        <v>40</v>
      </c>
      <c r="CM77" s="3">
        <f t="array" ref="CM77">SUMPRODUCT($J77:$U77,TRANSPOSE(CM$3:CM$14))</f>
        <v>60</v>
      </c>
      <c r="CN77" s="3">
        <f t="array" ref="CN77">SUMPRODUCT($J77:$U77,TRANSPOSE(CN$3:CN$14))</f>
        <v>60</v>
      </c>
      <c r="CO77" s="3">
        <f t="array" ref="CO77">SUMPRODUCT($J77:$U77,TRANSPOSE(CO$3:CO$14))</f>
        <v>80</v>
      </c>
      <c r="CP77" s="3">
        <f t="array" ref="CP77">SUMPRODUCT($J77:$U77,TRANSPOSE(CP$3:CP$14))</f>
        <v>80</v>
      </c>
      <c r="CQ77" s="3">
        <f t="array" ref="CQ77">SUMPRODUCT($J77:$U77,TRANSPOSE(CQ$3:CQ$14))</f>
        <v>80</v>
      </c>
      <c r="CR77" s="3">
        <f t="array" ref="CR77">SUMPRODUCT($J77:$U77,TRANSPOSE(CR$3:CR$14))</f>
        <v>80</v>
      </c>
      <c r="CS77" s="3">
        <f t="array" ref="CS77">SUMPRODUCT($J77:$U77,TRANSPOSE(CS$3:CS$14))</f>
        <v>40</v>
      </c>
      <c r="CT77" s="3">
        <f t="array" ref="CT77">SUMPRODUCT($J77:$U77,TRANSPOSE(CT$3:CT$14))</f>
        <v>0</v>
      </c>
      <c r="CU77" s="3">
        <f t="array" ref="CU77">SUMPRODUCT($J77:$U77,TRANSPOSE(CU$3:CU$14))</f>
        <v>0</v>
      </c>
      <c r="CV77" s="3">
        <f t="array" ref="CV77">SUMPRODUCT($J77:$U77,TRANSPOSE(CV$3:CV$14))</f>
        <v>0</v>
      </c>
      <c r="CW77" s="3">
        <f t="array" ref="CW77">SUMPRODUCT($J77:$U77,TRANSPOSE(CW$3:CW$14))</f>
        <v>0</v>
      </c>
      <c r="CX77" s="3">
        <f t="array" ref="CX77">SUMPRODUCT($J77:$U77,TRANSPOSE(CX$3:CX$14))</f>
        <v>0</v>
      </c>
      <c r="CY77" s="3">
        <f t="array" ref="CY77">SUMPRODUCT($J77:$U77,TRANSPOSE(CY$3:CY$14))</f>
        <v>0</v>
      </c>
      <c r="CZ77" s="3">
        <f t="array" ref="CZ77">SUMPRODUCT($J77:$U77,TRANSPOSE(CZ$3:CZ$14))</f>
        <v>0</v>
      </c>
      <c r="DA77" s="3">
        <f t="array" ref="DA77">SUMPRODUCT($J77:$U77,TRANSPOSE(DA$3:DA$14))</f>
        <v>0</v>
      </c>
      <c r="DB77" s="3">
        <f t="array" ref="DB77">SUMPRODUCT($J77:$U77,TRANSPOSE(DB$3:DB$14))</f>
        <v>0</v>
      </c>
      <c r="DC77" s="3">
        <f t="array" ref="DC77">SUMPRODUCT($J77:$U77,TRANSPOSE(DC$3:DC$14))</f>
        <v>0</v>
      </c>
      <c r="DD77" s="3">
        <f t="array" ref="DD77">SUMPRODUCT($J77:$U77,TRANSPOSE(DD$3:DD$14))</f>
        <v>0</v>
      </c>
      <c r="DE77" s="3">
        <f t="array" ref="DE77">SUMPRODUCT($J77:$U77,TRANSPOSE(DE$3:DE$14))</f>
        <v>0</v>
      </c>
    </row>
    <row r="78" spans="1:109" ht="13.5" thickBot="1" x14ac:dyDescent="0.25">
      <c r="A78" s="3">
        <v>123</v>
      </c>
      <c r="B78" s="9" t="s">
        <v>490</v>
      </c>
      <c r="C78" s="3" t="s">
        <v>13</v>
      </c>
      <c r="D78" s="3">
        <v>401429710</v>
      </c>
      <c r="F78" s="3" t="s">
        <v>64</v>
      </c>
      <c r="G78" s="3" t="s">
        <v>14</v>
      </c>
      <c r="H78" s="3">
        <v>1</v>
      </c>
      <c r="I78" s="3">
        <v>2</v>
      </c>
      <c r="J78" s="3">
        <v>0</v>
      </c>
      <c r="K78" s="3">
        <v>1</v>
      </c>
      <c r="L78" s="3">
        <v>0</v>
      </c>
      <c r="M78" s="3">
        <v>0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f t="shared" si="39"/>
        <v>2</v>
      </c>
      <c r="W78" s="3">
        <f t="shared" si="38"/>
        <v>260</v>
      </c>
      <c r="X78" s="8" t="s">
        <v>363</v>
      </c>
      <c r="Y78" s="3">
        <v>2.7</v>
      </c>
      <c r="Z78" s="3" t="s">
        <v>51</v>
      </c>
      <c r="AA78" s="3" t="s">
        <v>52</v>
      </c>
      <c r="AB78" s="3" t="s">
        <v>53</v>
      </c>
      <c r="AC78" s="3" t="s">
        <v>54</v>
      </c>
      <c r="BJ78" s="3">
        <f>SUM($AE78,$AF78:AH78)-SUM($CH78:CK78)</f>
        <v>0</v>
      </c>
      <c r="BK78" s="3">
        <f>SUM($AE78,$AF78:AI78)-SUM($CH78:CL78)</f>
        <v>-20</v>
      </c>
      <c r="BL78" s="3">
        <f>SUM($AE78,$AF78:AJ78)-SUM($CH78:CM78)</f>
        <v>-50</v>
      </c>
      <c r="BM78" s="3">
        <f>SUM($AE78,$AF78:AK78)-SUM($CH78:CN78)</f>
        <v>-80</v>
      </c>
      <c r="BN78" s="3">
        <f>SUM($AE78,$AF78:AL78)-SUM($CH78:CO78)</f>
        <v>-120</v>
      </c>
      <c r="BO78" s="3">
        <f>SUM($AE78,$AF78:AM78)-SUM($CH78:CP78)</f>
        <v>-160</v>
      </c>
      <c r="BP78" s="3">
        <f>SUM($AE78,$AF78:AN78)-SUM($CH78:CQ78)</f>
        <v>-200</v>
      </c>
      <c r="BQ78" s="3">
        <f>SUM($AE78,$AF78:AO78)-SUM($CH78:CR78)</f>
        <v>-240</v>
      </c>
      <c r="BR78" s="3">
        <f>SUM($AE78,$AF78:AP78)-SUM($CH78:CS78)</f>
        <v>-260</v>
      </c>
      <c r="BS78" s="3">
        <f>SUM($AE78,$AF78:AQ78)-SUM($CH78:CT78)</f>
        <v>-260</v>
      </c>
      <c r="BT78" s="3">
        <f>SUM($AE78,$AF78:AR78)-SUM($CH78:CU78)</f>
        <v>-260</v>
      </c>
      <c r="BU78" s="3">
        <f>SUM($AE78,$AF78:AS78)-SUM($CH78:CV78)</f>
        <v>-260</v>
      </c>
      <c r="BV78" s="3">
        <f>SUM($AE78,$AF78:AT78)-SUM($CH78:CW78)</f>
        <v>-260</v>
      </c>
      <c r="BW78" s="3">
        <f>SUM($AE78,$AF78:AU78)-SUM($CH78:CX78)</f>
        <v>-260</v>
      </c>
      <c r="BX78" s="3">
        <f>SUM($AE78,$AF78:AV78)-SUM($CH78:CY78)</f>
        <v>-260</v>
      </c>
      <c r="BY78" s="3">
        <f>SUM($AE78,$AF78:AW78)-SUM($CH78:CZ78)</f>
        <v>-260</v>
      </c>
      <c r="BZ78" s="3">
        <f>SUM($AE78,$AF78:AX78)-SUM($CH78:DA78)</f>
        <v>-260</v>
      </c>
      <c r="CA78" s="3">
        <f>SUM($AE78,$AF78:AY78)-SUM($CH78:DB78)</f>
        <v>-260</v>
      </c>
      <c r="CB78" s="3">
        <f>SUM($AE78,$AF78:AZ78)-SUM($CH78:DC78)</f>
        <v>-260</v>
      </c>
      <c r="CC78" s="3">
        <f>SUM($AE78,$AF78:BA78)-SUM($CH78:DD78)</f>
        <v>-260</v>
      </c>
      <c r="CI78" s="3">
        <f t="array" ref="CI78">SUMPRODUCT($J78:$U78,TRANSPOSE(CI$3:CI$14))</f>
        <v>0</v>
      </c>
      <c r="CJ78" s="3">
        <f t="array" ref="CJ78">SUMPRODUCT($J78:$U78,TRANSPOSE(CJ$3:CJ$14))</f>
        <v>0</v>
      </c>
      <c r="CK78" s="3">
        <f t="array" ref="CK78">SUMPRODUCT($J78:$U78,TRANSPOSE(CK$3:CK$14))</f>
        <v>0</v>
      </c>
      <c r="CL78" s="3">
        <f t="array" ref="CL78">SUMPRODUCT($J78:$U78,TRANSPOSE(CL$3:CL$14))</f>
        <v>20</v>
      </c>
      <c r="CM78" s="3">
        <f t="array" ref="CM78">SUMPRODUCT($J78:$U78,TRANSPOSE(CM$3:CM$14))</f>
        <v>30</v>
      </c>
      <c r="CN78" s="3">
        <f t="array" ref="CN78">SUMPRODUCT($J78:$U78,TRANSPOSE(CN$3:CN$14))</f>
        <v>30</v>
      </c>
      <c r="CO78" s="3">
        <f t="array" ref="CO78">SUMPRODUCT($J78:$U78,TRANSPOSE(CO$3:CO$14))</f>
        <v>40</v>
      </c>
      <c r="CP78" s="3">
        <f t="array" ref="CP78">SUMPRODUCT($J78:$U78,TRANSPOSE(CP$3:CP$14))</f>
        <v>40</v>
      </c>
      <c r="CQ78" s="3">
        <f t="array" ref="CQ78">SUMPRODUCT($J78:$U78,TRANSPOSE(CQ$3:CQ$14))</f>
        <v>40</v>
      </c>
      <c r="CR78" s="3">
        <f t="array" ref="CR78">SUMPRODUCT($J78:$U78,TRANSPOSE(CR$3:CR$14))</f>
        <v>40</v>
      </c>
      <c r="CS78" s="3">
        <f t="array" ref="CS78">SUMPRODUCT($J78:$U78,TRANSPOSE(CS$3:CS$14))</f>
        <v>20</v>
      </c>
      <c r="CT78" s="3">
        <f t="array" ref="CT78">SUMPRODUCT($J78:$U78,TRANSPOSE(CT$3:CT$14))</f>
        <v>0</v>
      </c>
      <c r="CU78" s="3">
        <f t="array" ref="CU78">SUMPRODUCT($J78:$U78,TRANSPOSE(CU$3:CU$14))</f>
        <v>0</v>
      </c>
      <c r="CV78" s="3">
        <f t="array" ref="CV78">SUMPRODUCT($J78:$U78,TRANSPOSE(CV$3:CV$14))</f>
        <v>0</v>
      </c>
      <c r="CW78" s="3">
        <f t="array" ref="CW78">SUMPRODUCT($J78:$U78,TRANSPOSE(CW$3:CW$14))</f>
        <v>0</v>
      </c>
      <c r="CX78" s="3">
        <f t="array" ref="CX78">SUMPRODUCT($J78:$U78,TRANSPOSE(CX$3:CX$14))</f>
        <v>0</v>
      </c>
      <c r="CY78" s="3">
        <f t="array" ref="CY78">SUMPRODUCT($J78:$U78,TRANSPOSE(CY$3:CY$14))</f>
        <v>0</v>
      </c>
      <c r="CZ78" s="3">
        <f t="array" ref="CZ78">SUMPRODUCT($J78:$U78,TRANSPOSE(CZ$3:CZ$14))</f>
        <v>0</v>
      </c>
      <c r="DA78" s="3">
        <f t="array" ref="DA78">SUMPRODUCT($J78:$U78,TRANSPOSE(DA$3:DA$14))</f>
        <v>0</v>
      </c>
      <c r="DB78" s="3">
        <f t="array" ref="DB78">SUMPRODUCT($J78:$U78,TRANSPOSE(DB$3:DB$14))</f>
        <v>0</v>
      </c>
      <c r="DC78" s="3">
        <f t="array" ref="DC78">SUMPRODUCT($J78:$U78,TRANSPOSE(DC$3:DC$14))</f>
        <v>0</v>
      </c>
      <c r="DD78" s="3">
        <f t="array" ref="DD78">SUMPRODUCT($J78:$U78,TRANSPOSE(DD$3:DD$14))</f>
        <v>0</v>
      </c>
      <c r="DE78" s="3">
        <f t="array" ref="DE78">SUMPRODUCT($J78:$U78,TRANSPOSE(DE$3:DE$14))</f>
        <v>0</v>
      </c>
    </row>
    <row r="79" spans="1:109" ht="13.5" thickBot="1" x14ac:dyDescent="0.25">
      <c r="A79" s="3">
        <v>125</v>
      </c>
      <c r="B79" s="9" t="s">
        <v>491</v>
      </c>
      <c r="C79" s="3" t="s">
        <v>48</v>
      </c>
      <c r="D79" s="3">
        <v>401519401</v>
      </c>
      <c r="F79" s="3" t="s">
        <v>492</v>
      </c>
      <c r="G79" s="3" t="s">
        <v>14</v>
      </c>
      <c r="H79" s="3">
        <v>1</v>
      </c>
      <c r="I79" s="3">
        <v>3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f t="shared" ref="V79:V110" si="40">SUM(J79:U79)</f>
        <v>3</v>
      </c>
      <c r="W79" s="3">
        <f t="shared" si="38"/>
        <v>390</v>
      </c>
      <c r="X79" s="8" t="s">
        <v>363</v>
      </c>
      <c r="Y79" s="3">
        <v>52</v>
      </c>
      <c r="Z79" s="3" t="s">
        <v>493</v>
      </c>
      <c r="AA79" s="3" t="s">
        <v>494</v>
      </c>
      <c r="AB79" s="3" t="s">
        <v>495</v>
      </c>
      <c r="AC79" s="20" t="s">
        <v>496</v>
      </c>
      <c r="BJ79" s="3">
        <f>SUM($AE79,$AF79:AH79)-SUM($CH79:CK79)</f>
        <v>0</v>
      </c>
      <c r="BK79" s="3">
        <f>SUM($AE79,$AF79:AI79)-SUM($CH79:CL79)</f>
        <v>0</v>
      </c>
      <c r="BL79" s="3">
        <f>SUM($AE79,$AF79:AJ79)-SUM($CH79:CM79)</f>
        <v>-30</v>
      </c>
      <c r="BM79" s="3">
        <f>SUM($AE79,$AF79:AK79)-SUM($CH79:CN79)</f>
        <v>-75</v>
      </c>
      <c r="BN79" s="3">
        <f>SUM($AE79,$AF79:AL79)-SUM($CH79:CO79)</f>
        <v>-120</v>
      </c>
      <c r="BO79" s="3">
        <f>SUM($AE79,$AF79:AM79)-SUM($CH79:CP79)</f>
        <v>-180</v>
      </c>
      <c r="BP79" s="3">
        <f>SUM($AE79,$AF79:AN79)-SUM($CH79:CQ79)</f>
        <v>-240</v>
      </c>
      <c r="BQ79" s="3">
        <f>SUM($AE79,$AF79:AO79)-SUM($CH79:CR79)</f>
        <v>-300</v>
      </c>
      <c r="BR79" s="3">
        <f>SUM($AE79,$AF79:AP79)-SUM($CH79:CS79)</f>
        <v>-360</v>
      </c>
      <c r="BS79" s="3">
        <f>SUM($AE79,$AF79:AQ79)-SUM($CH79:CT79)</f>
        <v>-390</v>
      </c>
      <c r="BT79" s="3">
        <f>SUM($AE79,$AF79:AR79)-SUM($CH79:CU79)</f>
        <v>-390</v>
      </c>
      <c r="BU79" s="3">
        <f>SUM($AE79,$AF79:AS79)-SUM($CH79:CV79)</f>
        <v>-390</v>
      </c>
      <c r="BV79" s="3">
        <f>SUM($AE79,$AF79:AT79)-SUM($CH79:CW79)</f>
        <v>-390</v>
      </c>
      <c r="BW79" s="3">
        <f>SUM($AE79,$AF79:AU79)-SUM($CH79:CX79)</f>
        <v>-390</v>
      </c>
      <c r="BX79" s="3">
        <f>SUM($AE79,$AF79:AV79)-SUM($CH79:CY79)</f>
        <v>-390</v>
      </c>
      <c r="BY79" s="3">
        <f>SUM($AE79,$AF79:AW79)-SUM($CH79:CZ79)</f>
        <v>-390</v>
      </c>
      <c r="BZ79" s="3">
        <f>SUM($AE79,$AF79:AX79)-SUM($CH79:DA79)</f>
        <v>-390</v>
      </c>
      <c r="CA79" s="3">
        <f>SUM($AE79,$AF79:AY79)-SUM($CH79:DB79)</f>
        <v>-390</v>
      </c>
      <c r="CB79" s="3">
        <f>SUM($AE79,$AF79:AZ79)-SUM($CH79:DC79)</f>
        <v>-390</v>
      </c>
      <c r="CC79" s="3">
        <f>SUM($AE79,$AF79:BA79)-SUM($CH79:DD79)</f>
        <v>-390</v>
      </c>
      <c r="CI79" s="3">
        <f t="array" ref="CI79">SUMPRODUCT($J79:$U79,TRANSPOSE(CI$3:CI$14))</f>
        <v>0</v>
      </c>
      <c r="CJ79" s="3">
        <f t="array" ref="CJ79">SUMPRODUCT($J79:$U79,TRANSPOSE(CJ$3:CJ$14))</f>
        <v>0</v>
      </c>
      <c r="CK79" s="3">
        <f t="array" ref="CK79">SUMPRODUCT($J79:$U79,TRANSPOSE(CK$3:CK$14))</f>
        <v>0</v>
      </c>
      <c r="CL79" s="3">
        <f t="array" ref="CL79">SUMPRODUCT($J79:$U79,TRANSPOSE(CL$3:CL$14))</f>
        <v>0</v>
      </c>
      <c r="CM79" s="3">
        <f t="array" ref="CM79">SUMPRODUCT($J79:$U79,TRANSPOSE(CM$3:CM$14))</f>
        <v>30</v>
      </c>
      <c r="CN79" s="3">
        <f t="array" ref="CN79">SUMPRODUCT($J79:$U79,TRANSPOSE(CN$3:CN$14))</f>
        <v>45</v>
      </c>
      <c r="CO79" s="3">
        <f t="array" ref="CO79">SUMPRODUCT($J79:$U79,TRANSPOSE(CO$3:CO$14))</f>
        <v>45</v>
      </c>
      <c r="CP79" s="3">
        <f t="array" ref="CP79">SUMPRODUCT($J79:$U79,TRANSPOSE(CP$3:CP$14))</f>
        <v>60</v>
      </c>
      <c r="CQ79" s="3">
        <f t="array" ref="CQ79">SUMPRODUCT($J79:$U79,TRANSPOSE(CQ$3:CQ$14))</f>
        <v>60</v>
      </c>
      <c r="CR79" s="3">
        <f t="array" ref="CR79">SUMPRODUCT($J79:$U79,TRANSPOSE(CR$3:CR$14))</f>
        <v>60</v>
      </c>
      <c r="CS79" s="3">
        <f t="array" ref="CS79">SUMPRODUCT($J79:$U79,TRANSPOSE(CS$3:CS$14))</f>
        <v>60</v>
      </c>
      <c r="CT79" s="3">
        <f t="array" ref="CT79">SUMPRODUCT($J79:$U79,TRANSPOSE(CT$3:CT$14))</f>
        <v>30</v>
      </c>
      <c r="CU79" s="3">
        <f t="array" ref="CU79">SUMPRODUCT($J79:$U79,TRANSPOSE(CU$3:CU$14))</f>
        <v>0</v>
      </c>
      <c r="CV79" s="3">
        <f t="array" ref="CV79">SUMPRODUCT($J79:$U79,TRANSPOSE(CV$3:CV$14))</f>
        <v>0</v>
      </c>
      <c r="CW79" s="3">
        <f t="array" ref="CW79">SUMPRODUCT($J79:$U79,TRANSPOSE(CW$3:CW$14))</f>
        <v>0</v>
      </c>
      <c r="CX79" s="3">
        <f t="array" ref="CX79">SUMPRODUCT($J79:$U79,TRANSPOSE(CX$3:CX$14))</f>
        <v>0</v>
      </c>
      <c r="CY79" s="3">
        <f t="array" ref="CY79">SUMPRODUCT($J79:$U79,TRANSPOSE(CY$3:CY$14))</f>
        <v>0</v>
      </c>
      <c r="CZ79" s="3">
        <f t="array" ref="CZ79">SUMPRODUCT($J79:$U79,TRANSPOSE(CZ$3:CZ$14))</f>
        <v>0</v>
      </c>
      <c r="DA79" s="3">
        <f t="array" ref="DA79">SUMPRODUCT($J79:$U79,TRANSPOSE(DA$3:DA$14))</f>
        <v>0</v>
      </c>
      <c r="DB79" s="3">
        <f t="array" ref="DB79">SUMPRODUCT($J79:$U79,TRANSPOSE(DB$3:DB$14))</f>
        <v>0</v>
      </c>
      <c r="DC79" s="3">
        <f t="array" ref="DC79">SUMPRODUCT($J79:$U79,TRANSPOSE(DC$3:DC$14))</f>
        <v>0</v>
      </c>
      <c r="DD79" s="3">
        <f t="array" ref="DD79">SUMPRODUCT($J79:$U79,TRANSPOSE(DD$3:DD$14))</f>
        <v>0</v>
      </c>
      <c r="DE79" s="3">
        <f t="array" ref="DE79">SUMPRODUCT($J79:$U79,TRANSPOSE(DE$3:DE$14))</f>
        <v>0</v>
      </c>
    </row>
    <row r="80" spans="1:109" ht="13.5" thickBot="1" x14ac:dyDescent="0.25">
      <c r="A80" s="3">
        <v>129</v>
      </c>
      <c r="B80" s="9" t="s">
        <v>497</v>
      </c>
      <c r="C80" s="3" t="s">
        <v>13</v>
      </c>
      <c r="D80" s="3">
        <v>401679627</v>
      </c>
      <c r="F80" s="3" t="s">
        <v>64</v>
      </c>
      <c r="G80" s="3" t="s">
        <v>14</v>
      </c>
      <c r="H80" s="3">
        <v>1</v>
      </c>
      <c r="I80" s="3">
        <v>2</v>
      </c>
      <c r="J80" s="3">
        <v>0</v>
      </c>
      <c r="K80" s="3">
        <v>0</v>
      </c>
      <c r="L80" s="3">
        <v>0</v>
      </c>
      <c r="M80" s="3">
        <v>0</v>
      </c>
      <c r="N80" s="3">
        <v>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f t="shared" si="40"/>
        <v>2</v>
      </c>
      <c r="W80" s="3">
        <f t="shared" si="38"/>
        <v>260</v>
      </c>
      <c r="X80" s="8" t="s">
        <v>363</v>
      </c>
      <c r="Y80" s="3">
        <v>1.2</v>
      </c>
      <c r="Z80" s="3" t="s">
        <v>364</v>
      </c>
      <c r="AA80" s="3" t="s">
        <v>365</v>
      </c>
      <c r="AB80" s="3" t="s">
        <v>366</v>
      </c>
      <c r="AC80" s="3" t="s">
        <v>367</v>
      </c>
      <c r="BJ80" s="3">
        <f>SUM($AE80,$AF80:AH80)-SUM($CH80:CK80)</f>
        <v>0</v>
      </c>
      <c r="BK80" s="3">
        <f>SUM($AE80,$AF80:AI80)-SUM($CH80:CL80)</f>
        <v>-20</v>
      </c>
      <c r="BL80" s="3">
        <f>SUM($AE80,$AF80:AJ80)-SUM($CH80:CM80)</f>
        <v>-50</v>
      </c>
      <c r="BM80" s="3">
        <f>SUM($AE80,$AF80:AK80)-SUM($CH80:CN80)</f>
        <v>-80</v>
      </c>
      <c r="BN80" s="3">
        <f>SUM($AE80,$AF80:AL80)-SUM($CH80:CO80)</f>
        <v>-120</v>
      </c>
      <c r="BO80" s="3">
        <f>SUM($AE80,$AF80:AM80)-SUM($CH80:CP80)</f>
        <v>-160</v>
      </c>
      <c r="BP80" s="3">
        <f>SUM($AE80,$AF80:AN80)-SUM($CH80:CQ80)</f>
        <v>-200</v>
      </c>
      <c r="BQ80" s="3">
        <f>SUM($AE80,$AF80:AO80)-SUM($CH80:CR80)</f>
        <v>-240</v>
      </c>
      <c r="BR80" s="3">
        <f>SUM($AE80,$AF80:AP80)-SUM($CH80:CS80)</f>
        <v>-260</v>
      </c>
      <c r="BS80" s="3">
        <f>SUM($AE80,$AF80:AQ80)-SUM($CH80:CT80)</f>
        <v>-260</v>
      </c>
      <c r="BT80" s="3">
        <f>SUM($AE80,$AF80:AR80)-SUM($CH80:CU80)</f>
        <v>-260</v>
      </c>
      <c r="BU80" s="3">
        <f>SUM($AE80,$AF80:AS80)-SUM($CH80:CV80)</f>
        <v>-260</v>
      </c>
      <c r="BV80" s="3">
        <f>SUM($AE80,$AF80:AT80)-SUM($CH80:CW80)</f>
        <v>-260</v>
      </c>
      <c r="BW80" s="3">
        <f>SUM($AE80,$AF80:AU80)-SUM($CH80:CX80)</f>
        <v>-260</v>
      </c>
      <c r="BX80" s="3">
        <f>SUM($AE80,$AF80:AV80)-SUM($CH80:CY80)</f>
        <v>-260</v>
      </c>
      <c r="BY80" s="3">
        <f>SUM($AE80,$AF80:AW80)-SUM($CH80:CZ80)</f>
        <v>-260</v>
      </c>
      <c r="BZ80" s="3">
        <f>SUM($AE80,$AF80:AX80)-SUM($CH80:DA80)</f>
        <v>-260</v>
      </c>
      <c r="CA80" s="3">
        <f>SUM($AE80,$AF80:AY80)-SUM($CH80:DB80)</f>
        <v>-260</v>
      </c>
      <c r="CB80" s="3">
        <f>SUM($AE80,$AF80:AZ80)-SUM($CH80:DC80)</f>
        <v>-260</v>
      </c>
      <c r="CC80" s="3">
        <f>SUM($AE80,$AF80:BA80)-SUM($CH80:DD80)</f>
        <v>-260</v>
      </c>
      <c r="CI80" s="3">
        <f t="array" ref="CI80">SUMPRODUCT($J80:$U80,TRANSPOSE(CI$3:CI$14))</f>
        <v>0</v>
      </c>
      <c r="CJ80" s="3">
        <f t="array" ref="CJ80">SUMPRODUCT($J80:$U80,TRANSPOSE(CJ$3:CJ$14))</f>
        <v>0</v>
      </c>
      <c r="CK80" s="3">
        <f t="array" ref="CK80">SUMPRODUCT($J80:$U80,TRANSPOSE(CK$3:CK$14))</f>
        <v>0</v>
      </c>
      <c r="CL80" s="3">
        <f t="array" ref="CL80">SUMPRODUCT($J80:$U80,TRANSPOSE(CL$3:CL$14))</f>
        <v>20</v>
      </c>
      <c r="CM80" s="3">
        <f t="array" ref="CM80">SUMPRODUCT($J80:$U80,TRANSPOSE(CM$3:CM$14))</f>
        <v>30</v>
      </c>
      <c r="CN80" s="3">
        <f t="array" ref="CN80">SUMPRODUCT($J80:$U80,TRANSPOSE(CN$3:CN$14))</f>
        <v>30</v>
      </c>
      <c r="CO80" s="3">
        <f t="array" ref="CO80">SUMPRODUCT($J80:$U80,TRANSPOSE(CO$3:CO$14))</f>
        <v>40</v>
      </c>
      <c r="CP80" s="3">
        <f t="array" ref="CP80">SUMPRODUCT($J80:$U80,TRANSPOSE(CP$3:CP$14))</f>
        <v>40</v>
      </c>
      <c r="CQ80" s="3">
        <f t="array" ref="CQ80">SUMPRODUCT($J80:$U80,TRANSPOSE(CQ$3:CQ$14))</f>
        <v>40</v>
      </c>
      <c r="CR80" s="3">
        <f t="array" ref="CR80">SUMPRODUCT($J80:$U80,TRANSPOSE(CR$3:CR$14))</f>
        <v>40</v>
      </c>
      <c r="CS80" s="3">
        <f t="array" ref="CS80">SUMPRODUCT($J80:$U80,TRANSPOSE(CS$3:CS$14))</f>
        <v>20</v>
      </c>
      <c r="CT80" s="3">
        <f t="array" ref="CT80">SUMPRODUCT($J80:$U80,TRANSPOSE(CT$3:CT$14))</f>
        <v>0</v>
      </c>
      <c r="CU80" s="3">
        <f t="array" ref="CU80">SUMPRODUCT($J80:$U80,TRANSPOSE(CU$3:CU$14))</f>
        <v>0</v>
      </c>
      <c r="CV80" s="3">
        <f t="array" ref="CV80">SUMPRODUCT($J80:$U80,TRANSPOSE(CV$3:CV$14))</f>
        <v>0</v>
      </c>
      <c r="CW80" s="3">
        <f t="array" ref="CW80">SUMPRODUCT($J80:$U80,TRANSPOSE(CW$3:CW$14))</f>
        <v>0</v>
      </c>
      <c r="CX80" s="3">
        <f t="array" ref="CX80">SUMPRODUCT($J80:$U80,TRANSPOSE(CX$3:CX$14))</f>
        <v>0</v>
      </c>
      <c r="CY80" s="3">
        <f t="array" ref="CY80">SUMPRODUCT($J80:$U80,TRANSPOSE(CY$3:CY$14))</f>
        <v>0</v>
      </c>
      <c r="CZ80" s="3">
        <f t="array" ref="CZ80">SUMPRODUCT($J80:$U80,TRANSPOSE(CZ$3:CZ$14))</f>
        <v>0</v>
      </c>
      <c r="DA80" s="3">
        <f t="array" ref="DA80">SUMPRODUCT($J80:$U80,TRANSPOSE(DA$3:DA$14))</f>
        <v>0</v>
      </c>
      <c r="DB80" s="3">
        <f t="array" ref="DB80">SUMPRODUCT($J80:$U80,TRANSPOSE(DB$3:DB$14))</f>
        <v>0</v>
      </c>
      <c r="DC80" s="3">
        <f t="array" ref="DC80">SUMPRODUCT($J80:$U80,TRANSPOSE(DC$3:DC$14))</f>
        <v>0</v>
      </c>
      <c r="DD80" s="3">
        <f t="array" ref="DD80">SUMPRODUCT($J80:$U80,TRANSPOSE(DD$3:DD$14))</f>
        <v>0</v>
      </c>
      <c r="DE80" s="3">
        <f t="array" ref="DE80">SUMPRODUCT($J80:$U80,TRANSPOSE(DE$3:DE$14))</f>
        <v>0</v>
      </c>
    </row>
    <row r="81" spans="1:109" ht="13.5" thickBot="1" x14ac:dyDescent="0.25">
      <c r="A81" s="3">
        <v>130</v>
      </c>
      <c r="B81" s="9" t="s">
        <v>498</v>
      </c>
      <c r="C81" s="3" t="s">
        <v>13</v>
      </c>
      <c r="D81" s="3">
        <v>401679626</v>
      </c>
      <c r="F81" s="3" t="s">
        <v>499</v>
      </c>
      <c r="G81" s="3" t="s">
        <v>14</v>
      </c>
      <c r="H81" s="3">
        <v>1</v>
      </c>
      <c r="I81" s="3">
        <v>24</v>
      </c>
      <c r="J81" s="3">
        <v>24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f t="shared" si="40"/>
        <v>24</v>
      </c>
      <c r="W81" s="3">
        <f t="shared" ref="W81:W144" si="41">SUMPRODUCT(J81:U81,$J$11:$U$11)</f>
        <v>3120</v>
      </c>
      <c r="X81" s="8" t="s">
        <v>363</v>
      </c>
      <c r="Y81" s="3">
        <v>1.76</v>
      </c>
      <c r="Z81" s="3" t="s">
        <v>44</v>
      </c>
      <c r="AA81" s="3" t="s">
        <v>45</v>
      </c>
      <c r="AB81" s="3" t="s">
        <v>46</v>
      </c>
      <c r="AC81" s="3" t="s">
        <v>47</v>
      </c>
      <c r="BJ81" s="3">
        <f>SUM($AE81,$AF81:AH81)-SUM($CH81:CK81)</f>
        <v>0</v>
      </c>
      <c r="BK81" s="3">
        <f>SUM($AE81,$AF81:AI81)-SUM($CH81:CL81)</f>
        <v>0</v>
      </c>
      <c r="BL81" s="3">
        <f>SUM($AE81,$AF81:AJ81)-SUM($CH81:CM81)</f>
        <v>-240</v>
      </c>
      <c r="BM81" s="3">
        <f>SUM($AE81,$AF81:AK81)-SUM($CH81:CN81)</f>
        <v>-600</v>
      </c>
      <c r="BN81" s="3">
        <f>SUM($AE81,$AF81:AL81)-SUM($CH81:CO81)</f>
        <v>-960</v>
      </c>
      <c r="BO81" s="3">
        <f>SUM($AE81,$AF81:AM81)-SUM($CH81:CP81)</f>
        <v>-1440</v>
      </c>
      <c r="BP81" s="3">
        <f>SUM($AE81,$AF81:AN81)-SUM($CH81:CQ81)</f>
        <v>-1920</v>
      </c>
      <c r="BQ81" s="3">
        <f>SUM($AE81,$AF81:AO81)-SUM($CH81:CR81)</f>
        <v>-2400</v>
      </c>
      <c r="BR81" s="3">
        <f>SUM($AE81,$AF81:AP81)-SUM($CH81:CS81)</f>
        <v>-2880</v>
      </c>
      <c r="BS81" s="3">
        <f>SUM($AE81,$AF81:AQ81)-SUM($CH81:CT81)</f>
        <v>-3120</v>
      </c>
      <c r="BT81" s="3">
        <f>SUM($AE81,$AF81:AR81)-SUM($CH81:CU81)</f>
        <v>-3120</v>
      </c>
      <c r="BU81" s="3">
        <f>SUM($AE81,$AF81:AS81)-SUM($CH81:CV81)</f>
        <v>-3120</v>
      </c>
      <c r="BV81" s="3">
        <f>SUM($AE81,$AF81:AT81)-SUM($CH81:CW81)</f>
        <v>-3120</v>
      </c>
      <c r="BW81" s="3">
        <f>SUM($AE81,$AF81:AU81)-SUM($CH81:CX81)</f>
        <v>-3120</v>
      </c>
      <c r="BX81" s="3">
        <f>SUM($AE81,$AF81:AV81)-SUM($CH81:CY81)</f>
        <v>-3120</v>
      </c>
      <c r="BY81" s="3">
        <f>SUM($AE81,$AF81:AW81)-SUM($CH81:CZ81)</f>
        <v>-3120</v>
      </c>
      <c r="BZ81" s="3">
        <f>SUM($AE81,$AF81:AX81)-SUM($CH81:DA81)</f>
        <v>-3120</v>
      </c>
      <c r="CA81" s="3">
        <f>SUM($AE81,$AF81:AY81)-SUM($CH81:DB81)</f>
        <v>-3120</v>
      </c>
      <c r="CB81" s="3">
        <f>SUM($AE81,$AF81:AZ81)-SUM($CH81:DC81)</f>
        <v>-3120</v>
      </c>
      <c r="CC81" s="3">
        <f>SUM($AE81,$AF81:BA81)-SUM($CH81:DD81)</f>
        <v>-3120</v>
      </c>
      <c r="CI81" s="3">
        <f t="array" ref="CI81">SUMPRODUCT($J81:$U81,TRANSPOSE(CI$3:CI$14))</f>
        <v>0</v>
      </c>
      <c r="CJ81" s="3">
        <f t="array" ref="CJ81">SUMPRODUCT($J81:$U81,TRANSPOSE(CJ$3:CJ$14))</f>
        <v>0</v>
      </c>
      <c r="CK81" s="3">
        <f t="array" ref="CK81">SUMPRODUCT($J81:$U81,TRANSPOSE(CK$3:CK$14))</f>
        <v>0</v>
      </c>
      <c r="CL81" s="3">
        <f t="array" ref="CL81">SUMPRODUCT($J81:$U81,TRANSPOSE(CL$3:CL$14))</f>
        <v>0</v>
      </c>
      <c r="CM81" s="3">
        <f t="array" ref="CM81">SUMPRODUCT($J81:$U81,TRANSPOSE(CM$3:CM$14))</f>
        <v>240</v>
      </c>
      <c r="CN81" s="3">
        <f t="array" ref="CN81">SUMPRODUCT($J81:$U81,TRANSPOSE(CN$3:CN$14))</f>
        <v>360</v>
      </c>
      <c r="CO81" s="3">
        <f t="array" ref="CO81">SUMPRODUCT($J81:$U81,TRANSPOSE(CO$3:CO$14))</f>
        <v>360</v>
      </c>
      <c r="CP81" s="3">
        <f t="array" ref="CP81">SUMPRODUCT($J81:$U81,TRANSPOSE(CP$3:CP$14))</f>
        <v>480</v>
      </c>
      <c r="CQ81" s="3">
        <f t="array" ref="CQ81">SUMPRODUCT($J81:$U81,TRANSPOSE(CQ$3:CQ$14))</f>
        <v>480</v>
      </c>
      <c r="CR81" s="3">
        <f t="array" ref="CR81">SUMPRODUCT($J81:$U81,TRANSPOSE(CR$3:CR$14))</f>
        <v>480</v>
      </c>
      <c r="CS81" s="3">
        <f t="array" ref="CS81">SUMPRODUCT($J81:$U81,TRANSPOSE(CS$3:CS$14))</f>
        <v>480</v>
      </c>
      <c r="CT81" s="3">
        <f t="array" ref="CT81">SUMPRODUCT($J81:$U81,TRANSPOSE(CT$3:CT$14))</f>
        <v>240</v>
      </c>
      <c r="CU81" s="3">
        <f t="array" ref="CU81">SUMPRODUCT($J81:$U81,TRANSPOSE(CU$3:CU$14))</f>
        <v>0</v>
      </c>
      <c r="CV81" s="3">
        <f t="array" ref="CV81">SUMPRODUCT($J81:$U81,TRANSPOSE(CV$3:CV$14))</f>
        <v>0</v>
      </c>
      <c r="CW81" s="3">
        <f t="array" ref="CW81">SUMPRODUCT($J81:$U81,TRANSPOSE(CW$3:CW$14))</f>
        <v>0</v>
      </c>
      <c r="CX81" s="3">
        <f t="array" ref="CX81">SUMPRODUCT($J81:$U81,TRANSPOSE(CX$3:CX$14))</f>
        <v>0</v>
      </c>
      <c r="CY81" s="3">
        <f t="array" ref="CY81">SUMPRODUCT($J81:$U81,TRANSPOSE(CY$3:CY$14))</f>
        <v>0</v>
      </c>
      <c r="CZ81" s="3">
        <f t="array" ref="CZ81">SUMPRODUCT($J81:$U81,TRANSPOSE(CZ$3:CZ$14))</f>
        <v>0</v>
      </c>
      <c r="DA81" s="3">
        <f t="array" ref="DA81">SUMPRODUCT($J81:$U81,TRANSPOSE(DA$3:DA$14))</f>
        <v>0</v>
      </c>
      <c r="DB81" s="3">
        <f t="array" ref="DB81">SUMPRODUCT($J81:$U81,TRANSPOSE(DB$3:DB$14))</f>
        <v>0</v>
      </c>
      <c r="DC81" s="3">
        <f t="array" ref="DC81">SUMPRODUCT($J81:$U81,TRANSPOSE(DC$3:DC$14))</f>
        <v>0</v>
      </c>
      <c r="DD81" s="3">
        <f t="array" ref="DD81">SUMPRODUCT($J81:$U81,TRANSPOSE(DD$3:DD$14))</f>
        <v>0</v>
      </c>
      <c r="DE81" s="3">
        <f t="array" ref="DE81">SUMPRODUCT($J81:$U81,TRANSPOSE(DE$3:DE$14))</f>
        <v>0</v>
      </c>
    </row>
    <row r="82" spans="1:109" ht="13.5" thickBot="1" x14ac:dyDescent="0.25">
      <c r="A82" s="3">
        <v>131</v>
      </c>
      <c r="B82" s="9" t="s">
        <v>500</v>
      </c>
      <c r="C82" s="3" t="s">
        <v>13</v>
      </c>
      <c r="D82" s="3">
        <v>402007349</v>
      </c>
      <c r="F82" s="3" t="s">
        <v>64</v>
      </c>
      <c r="G82" s="3" t="s">
        <v>14</v>
      </c>
      <c r="H82" s="3">
        <v>1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4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f t="shared" si="40"/>
        <v>4</v>
      </c>
      <c r="W82" s="3">
        <f t="shared" si="41"/>
        <v>520</v>
      </c>
      <c r="X82" s="8" t="s">
        <v>363</v>
      </c>
      <c r="Y82" s="3">
        <v>0.57999999999999996</v>
      </c>
      <c r="Z82" s="3" t="s">
        <v>364</v>
      </c>
      <c r="AA82" s="3" t="s">
        <v>365</v>
      </c>
      <c r="AB82" s="3" t="s">
        <v>366</v>
      </c>
      <c r="AC82" s="3" t="s">
        <v>367</v>
      </c>
      <c r="BJ82" s="3">
        <f>SUM($AE82,$AF82:AH82)-SUM($CH82:CK82)</f>
        <v>0</v>
      </c>
      <c r="BK82" s="3">
        <f>SUM($AE82,$AF82:AI82)-SUM($CH82:CL82)</f>
        <v>-40</v>
      </c>
      <c r="BL82" s="3">
        <f>SUM($AE82,$AF82:AJ82)-SUM($CH82:CM82)</f>
        <v>-100</v>
      </c>
      <c r="BM82" s="3">
        <f>SUM($AE82,$AF82:AK82)-SUM($CH82:CN82)</f>
        <v>-160</v>
      </c>
      <c r="BN82" s="3">
        <f>SUM($AE82,$AF82:AL82)-SUM($CH82:CO82)</f>
        <v>-240</v>
      </c>
      <c r="BO82" s="3">
        <f>SUM($AE82,$AF82:AM82)-SUM($CH82:CP82)</f>
        <v>-320</v>
      </c>
      <c r="BP82" s="3">
        <f>SUM($AE82,$AF82:AN82)-SUM($CH82:CQ82)</f>
        <v>-400</v>
      </c>
      <c r="BQ82" s="3">
        <f>SUM($AE82,$AF82:AO82)-SUM($CH82:CR82)</f>
        <v>-480</v>
      </c>
      <c r="BR82" s="3">
        <f>SUM($AE82,$AF82:AP82)-SUM($CH82:CS82)</f>
        <v>-520</v>
      </c>
      <c r="BS82" s="3">
        <f>SUM($AE82,$AF82:AQ82)-SUM($CH82:CT82)</f>
        <v>-520</v>
      </c>
      <c r="BT82" s="3">
        <f>SUM($AE82,$AF82:AR82)-SUM($CH82:CU82)</f>
        <v>-520</v>
      </c>
      <c r="BU82" s="3">
        <f>SUM($AE82,$AF82:AS82)-SUM($CH82:CV82)</f>
        <v>-520</v>
      </c>
      <c r="BV82" s="3">
        <f>SUM($AE82,$AF82:AT82)-SUM($CH82:CW82)</f>
        <v>-520</v>
      </c>
      <c r="BW82" s="3">
        <f>SUM($AE82,$AF82:AU82)-SUM($CH82:CX82)</f>
        <v>-520</v>
      </c>
      <c r="BX82" s="3">
        <f>SUM($AE82,$AF82:AV82)-SUM($CH82:CY82)</f>
        <v>-520</v>
      </c>
      <c r="BY82" s="3">
        <f>SUM($AE82,$AF82:AW82)-SUM($CH82:CZ82)</f>
        <v>-520</v>
      </c>
      <c r="BZ82" s="3">
        <f>SUM($AE82,$AF82:AX82)-SUM($CH82:DA82)</f>
        <v>-520</v>
      </c>
      <c r="CA82" s="3">
        <f>SUM($AE82,$AF82:AY82)-SUM($CH82:DB82)</f>
        <v>-520</v>
      </c>
      <c r="CB82" s="3">
        <f>SUM($AE82,$AF82:AZ82)-SUM($CH82:DC82)</f>
        <v>-520</v>
      </c>
      <c r="CC82" s="3">
        <f>SUM($AE82,$AF82:BA82)-SUM($CH82:DD82)</f>
        <v>-520</v>
      </c>
      <c r="CI82" s="3">
        <f t="array" ref="CI82">SUMPRODUCT($J82:$U82,TRANSPOSE(CI$3:CI$14))</f>
        <v>0</v>
      </c>
      <c r="CJ82" s="3">
        <f t="array" ref="CJ82">SUMPRODUCT($J82:$U82,TRANSPOSE(CJ$3:CJ$14))</f>
        <v>0</v>
      </c>
      <c r="CK82" s="3">
        <f t="array" ref="CK82">SUMPRODUCT($J82:$U82,TRANSPOSE(CK$3:CK$14))</f>
        <v>0</v>
      </c>
      <c r="CL82" s="3">
        <f t="array" ref="CL82">SUMPRODUCT($J82:$U82,TRANSPOSE(CL$3:CL$14))</f>
        <v>40</v>
      </c>
      <c r="CM82" s="3">
        <f t="array" ref="CM82">SUMPRODUCT($J82:$U82,TRANSPOSE(CM$3:CM$14))</f>
        <v>60</v>
      </c>
      <c r="CN82" s="3">
        <f t="array" ref="CN82">SUMPRODUCT($J82:$U82,TRANSPOSE(CN$3:CN$14))</f>
        <v>60</v>
      </c>
      <c r="CO82" s="3">
        <f t="array" ref="CO82">SUMPRODUCT($J82:$U82,TRANSPOSE(CO$3:CO$14))</f>
        <v>80</v>
      </c>
      <c r="CP82" s="3">
        <f t="array" ref="CP82">SUMPRODUCT($J82:$U82,TRANSPOSE(CP$3:CP$14))</f>
        <v>80</v>
      </c>
      <c r="CQ82" s="3">
        <f t="array" ref="CQ82">SUMPRODUCT($J82:$U82,TRANSPOSE(CQ$3:CQ$14))</f>
        <v>80</v>
      </c>
      <c r="CR82" s="3">
        <f t="array" ref="CR82">SUMPRODUCT($J82:$U82,TRANSPOSE(CR$3:CR$14))</f>
        <v>80</v>
      </c>
      <c r="CS82" s="3">
        <f t="array" ref="CS82">SUMPRODUCT($J82:$U82,TRANSPOSE(CS$3:CS$14))</f>
        <v>40</v>
      </c>
      <c r="CT82" s="3">
        <f t="array" ref="CT82">SUMPRODUCT($J82:$U82,TRANSPOSE(CT$3:CT$14))</f>
        <v>0</v>
      </c>
      <c r="CU82" s="3">
        <f t="array" ref="CU82">SUMPRODUCT($J82:$U82,TRANSPOSE(CU$3:CU$14))</f>
        <v>0</v>
      </c>
      <c r="CV82" s="3">
        <f t="array" ref="CV82">SUMPRODUCT($J82:$U82,TRANSPOSE(CV$3:CV$14))</f>
        <v>0</v>
      </c>
      <c r="CW82" s="3">
        <f t="array" ref="CW82">SUMPRODUCT($J82:$U82,TRANSPOSE(CW$3:CW$14))</f>
        <v>0</v>
      </c>
      <c r="CX82" s="3">
        <f t="array" ref="CX82">SUMPRODUCT($J82:$U82,TRANSPOSE(CX$3:CX$14))</f>
        <v>0</v>
      </c>
      <c r="CY82" s="3">
        <f t="array" ref="CY82">SUMPRODUCT($J82:$U82,TRANSPOSE(CY$3:CY$14))</f>
        <v>0</v>
      </c>
      <c r="CZ82" s="3">
        <f t="array" ref="CZ82">SUMPRODUCT($J82:$U82,TRANSPOSE(CZ$3:CZ$14))</f>
        <v>0</v>
      </c>
      <c r="DA82" s="3">
        <f t="array" ref="DA82">SUMPRODUCT($J82:$U82,TRANSPOSE(DA$3:DA$14))</f>
        <v>0</v>
      </c>
      <c r="DB82" s="3">
        <f t="array" ref="DB82">SUMPRODUCT($J82:$U82,TRANSPOSE(DB$3:DB$14))</f>
        <v>0</v>
      </c>
      <c r="DC82" s="3">
        <f t="array" ref="DC82">SUMPRODUCT($J82:$U82,TRANSPOSE(DC$3:DC$14))</f>
        <v>0</v>
      </c>
      <c r="DD82" s="3">
        <f t="array" ref="DD82">SUMPRODUCT($J82:$U82,TRANSPOSE(DD$3:DD$14))</f>
        <v>0</v>
      </c>
      <c r="DE82" s="3">
        <f t="array" ref="DE82">SUMPRODUCT($J82:$U82,TRANSPOSE(DE$3:DE$14))</f>
        <v>0</v>
      </c>
    </row>
    <row r="83" spans="1:109" ht="13.5" thickBot="1" x14ac:dyDescent="0.25">
      <c r="A83" s="3">
        <v>133</v>
      </c>
      <c r="B83" s="9" t="s">
        <v>501</v>
      </c>
      <c r="C83" s="3" t="s">
        <v>13</v>
      </c>
      <c r="D83" s="16">
        <v>402215693</v>
      </c>
      <c r="F83" s="3" t="s">
        <v>502</v>
      </c>
      <c r="G83" s="3" t="s">
        <v>14</v>
      </c>
      <c r="H83" s="3">
        <v>1</v>
      </c>
      <c r="I83" s="3">
        <v>1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f t="shared" si="40"/>
        <v>1</v>
      </c>
      <c r="W83" s="3">
        <f t="shared" si="41"/>
        <v>130</v>
      </c>
      <c r="X83" s="8" t="s">
        <v>363</v>
      </c>
      <c r="Y83" s="3">
        <v>33</v>
      </c>
      <c r="Z83" s="3" t="s">
        <v>395</v>
      </c>
      <c r="AA83" s="3" t="s">
        <v>396</v>
      </c>
      <c r="AB83" s="3" t="s">
        <v>397</v>
      </c>
      <c r="AC83" s="23" t="s">
        <v>398</v>
      </c>
      <c r="BJ83" s="3">
        <f>SUM($AE83,$AF83:AH83)-SUM($CH83:CK83)</f>
        <v>0</v>
      </c>
      <c r="BK83" s="3">
        <f>SUM($AE83,$AF83:AI83)-SUM($CH83:CL83)</f>
        <v>0</v>
      </c>
      <c r="BL83" s="3">
        <f>SUM($AE83,$AF83:AJ83)-SUM($CH83:CM83)</f>
        <v>-10</v>
      </c>
      <c r="BM83" s="3">
        <f>SUM($AE83,$AF83:AK83)-SUM($CH83:CN83)</f>
        <v>-25</v>
      </c>
      <c r="BN83" s="3">
        <f>SUM($AE83,$AF83:AL83)-SUM($CH83:CO83)</f>
        <v>-40</v>
      </c>
      <c r="BO83" s="3">
        <f>SUM($AE83,$AF83:AM83)-SUM($CH83:CP83)</f>
        <v>-60</v>
      </c>
      <c r="BP83" s="3">
        <f>SUM($AE83,$AF83:AN83)-SUM($CH83:CQ83)</f>
        <v>-80</v>
      </c>
      <c r="BQ83" s="3">
        <f>SUM($AE83,$AF83:AO83)-SUM($CH83:CR83)</f>
        <v>-100</v>
      </c>
      <c r="BR83" s="3">
        <f>SUM($AE83,$AF83:AP83)-SUM($CH83:CS83)</f>
        <v>-120</v>
      </c>
      <c r="BS83" s="3">
        <f>SUM($AE83,$AF83:AQ83)-SUM($CH83:CT83)</f>
        <v>-130</v>
      </c>
      <c r="BT83" s="3">
        <f>SUM($AE83,$AF83:AR83)-SUM($CH83:CU83)</f>
        <v>-130</v>
      </c>
      <c r="BU83" s="3">
        <f>SUM($AE83,$AF83:AS83)-SUM($CH83:CV83)</f>
        <v>-130</v>
      </c>
      <c r="BV83" s="3">
        <f>SUM($AE83,$AF83:AT83)-SUM($CH83:CW83)</f>
        <v>-130</v>
      </c>
      <c r="BW83" s="3">
        <f>SUM($AE83,$AF83:AU83)-SUM($CH83:CX83)</f>
        <v>-130</v>
      </c>
      <c r="BX83" s="3">
        <f>SUM($AE83,$AF83:AV83)-SUM($CH83:CY83)</f>
        <v>-130</v>
      </c>
      <c r="BY83" s="3">
        <f>SUM($AE83,$AF83:AW83)-SUM($CH83:CZ83)</f>
        <v>-130</v>
      </c>
      <c r="BZ83" s="3">
        <f>SUM($AE83,$AF83:AX83)-SUM($CH83:DA83)</f>
        <v>-130</v>
      </c>
      <c r="CA83" s="3">
        <f>SUM($AE83,$AF83:AY83)-SUM($CH83:DB83)</f>
        <v>-130</v>
      </c>
      <c r="CB83" s="3">
        <f>SUM($AE83,$AF83:AZ83)-SUM($CH83:DC83)</f>
        <v>-130</v>
      </c>
      <c r="CC83" s="3">
        <f>SUM($AE83,$AF83:BA83)-SUM($CH83:DD83)</f>
        <v>-130</v>
      </c>
      <c r="CI83" s="3">
        <f t="array" ref="CI83">SUMPRODUCT($J83:$U83,TRANSPOSE(CI$3:CI$14))</f>
        <v>0</v>
      </c>
      <c r="CJ83" s="3">
        <f t="array" ref="CJ83">SUMPRODUCT($J83:$U83,TRANSPOSE(CJ$3:CJ$14))</f>
        <v>0</v>
      </c>
      <c r="CK83" s="3">
        <f t="array" ref="CK83">SUMPRODUCT($J83:$U83,TRANSPOSE(CK$3:CK$14))</f>
        <v>0</v>
      </c>
      <c r="CL83" s="3">
        <f t="array" ref="CL83">SUMPRODUCT($J83:$U83,TRANSPOSE(CL$3:CL$14))</f>
        <v>0</v>
      </c>
      <c r="CM83" s="3">
        <f t="array" ref="CM83">SUMPRODUCT($J83:$U83,TRANSPOSE(CM$3:CM$14))</f>
        <v>10</v>
      </c>
      <c r="CN83" s="3">
        <f t="array" ref="CN83">SUMPRODUCT($J83:$U83,TRANSPOSE(CN$3:CN$14))</f>
        <v>15</v>
      </c>
      <c r="CO83" s="3">
        <f t="array" ref="CO83">SUMPRODUCT($J83:$U83,TRANSPOSE(CO$3:CO$14))</f>
        <v>15</v>
      </c>
      <c r="CP83" s="3">
        <f t="array" ref="CP83">SUMPRODUCT($J83:$U83,TRANSPOSE(CP$3:CP$14))</f>
        <v>20</v>
      </c>
      <c r="CQ83" s="3">
        <f t="array" ref="CQ83">SUMPRODUCT($J83:$U83,TRANSPOSE(CQ$3:CQ$14))</f>
        <v>20</v>
      </c>
      <c r="CR83" s="3">
        <f t="array" ref="CR83">SUMPRODUCT($J83:$U83,TRANSPOSE(CR$3:CR$14))</f>
        <v>20</v>
      </c>
      <c r="CS83" s="3">
        <f t="array" ref="CS83">SUMPRODUCT($J83:$U83,TRANSPOSE(CS$3:CS$14))</f>
        <v>20</v>
      </c>
      <c r="CT83" s="3">
        <f t="array" ref="CT83">SUMPRODUCT($J83:$U83,TRANSPOSE(CT$3:CT$14))</f>
        <v>10</v>
      </c>
      <c r="CU83" s="3">
        <f t="array" ref="CU83">SUMPRODUCT($J83:$U83,TRANSPOSE(CU$3:CU$14))</f>
        <v>0</v>
      </c>
      <c r="CV83" s="3">
        <f t="array" ref="CV83">SUMPRODUCT($J83:$U83,TRANSPOSE(CV$3:CV$14))</f>
        <v>0</v>
      </c>
      <c r="CW83" s="3">
        <f t="array" ref="CW83">SUMPRODUCT($J83:$U83,TRANSPOSE(CW$3:CW$14))</f>
        <v>0</v>
      </c>
      <c r="CX83" s="3">
        <f t="array" ref="CX83">SUMPRODUCT($J83:$U83,TRANSPOSE(CX$3:CX$14))</f>
        <v>0</v>
      </c>
      <c r="CY83" s="3">
        <f t="array" ref="CY83">SUMPRODUCT($J83:$U83,TRANSPOSE(CY$3:CY$14))</f>
        <v>0</v>
      </c>
      <c r="CZ83" s="3">
        <f t="array" ref="CZ83">SUMPRODUCT($J83:$U83,TRANSPOSE(CZ$3:CZ$14))</f>
        <v>0</v>
      </c>
      <c r="DA83" s="3">
        <f t="array" ref="DA83">SUMPRODUCT($J83:$U83,TRANSPOSE(DA$3:DA$14))</f>
        <v>0</v>
      </c>
      <c r="DB83" s="3">
        <f t="array" ref="DB83">SUMPRODUCT($J83:$U83,TRANSPOSE(DB$3:DB$14))</f>
        <v>0</v>
      </c>
      <c r="DC83" s="3">
        <f t="array" ref="DC83">SUMPRODUCT($J83:$U83,TRANSPOSE(DC$3:DC$14))</f>
        <v>0</v>
      </c>
      <c r="DD83" s="3">
        <f t="array" ref="DD83">SUMPRODUCT($J83:$U83,TRANSPOSE(DD$3:DD$14))</f>
        <v>0</v>
      </c>
      <c r="DE83" s="3">
        <f t="array" ref="DE83">SUMPRODUCT($J83:$U83,TRANSPOSE(DE$3:DE$14))</f>
        <v>0</v>
      </c>
    </row>
    <row r="84" spans="1:109" ht="13.5" thickBot="1" x14ac:dyDescent="0.25">
      <c r="A84" s="3">
        <v>134</v>
      </c>
      <c r="B84" s="9" t="s">
        <v>503</v>
      </c>
      <c r="C84" s="3" t="s">
        <v>13</v>
      </c>
      <c r="D84" s="16">
        <v>402215700</v>
      </c>
      <c r="F84" s="3" t="s">
        <v>504</v>
      </c>
      <c r="G84" s="3" t="s">
        <v>14</v>
      </c>
      <c r="H84" s="3">
        <v>1</v>
      </c>
      <c r="I84" s="3">
        <v>1</v>
      </c>
      <c r="J84" s="3">
        <v>1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f t="shared" si="40"/>
        <v>1</v>
      </c>
      <c r="W84" s="3">
        <f t="shared" si="41"/>
        <v>130</v>
      </c>
      <c r="X84" s="8" t="s">
        <v>363</v>
      </c>
      <c r="Y84" s="3">
        <v>33</v>
      </c>
      <c r="Z84" s="3" t="s">
        <v>395</v>
      </c>
      <c r="AA84" s="3" t="s">
        <v>396</v>
      </c>
      <c r="AB84" s="3" t="s">
        <v>397</v>
      </c>
      <c r="AC84" s="23" t="s">
        <v>398</v>
      </c>
      <c r="BJ84" s="3">
        <f>SUM($AE84,$AF84:AH84)-SUM($CH84:CK84)</f>
        <v>0</v>
      </c>
      <c r="BK84" s="3">
        <f>SUM($AE84,$AF84:AI84)-SUM($CH84:CL84)</f>
        <v>0</v>
      </c>
      <c r="BL84" s="3">
        <f>SUM($AE84,$AF84:AJ84)-SUM($CH84:CM84)</f>
        <v>-10</v>
      </c>
      <c r="BM84" s="3">
        <f>SUM($AE84,$AF84:AK84)-SUM($CH84:CN84)</f>
        <v>-25</v>
      </c>
      <c r="BN84" s="3">
        <f>SUM($AE84,$AF84:AL84)-SUM($CH84:CO84)</f>
        <v>-40</v>
      </c>
      <c r="BO84" s="3">
        <f>SUM($AE84,$AF84:AM84)-SUM($CH84:CP84)</f>
        <v>-60</v>
      </c>
      <c r="BP84" s="3">
        <f>SUM($AE84,$AF84:AN84)-SUM($CH84:CQ84)</f>
        <v>-80</v>
      </c>
      <c r="BQ84" s="3">
        <f>SUM($AE84,$AF84:AO84)-SUM($CH84:CR84)</f>
        <v>-100</v>
      </c>
      <c r="BR84" s="3">
        <f>SUM($AE84,$AF84:AP84)-SUM($CH84:CS84)</f>
        <v>-120</v>
      </c>
      <c r="BS84" s="3">
        <f>SUM($AE84,$AF84:AQ84)-SUM($CH84:CT84)</f>
        <v>-130</v>
      </c>
      <c r="BT84" s="3">
        <f>SUM($AE84,$AF84:AR84)-SUM($CH84:CU84)</f>
        <v>-130</v>
      </c>
      <c r="BU84" s="3">
        <f>SUM($AE84,$AF84:AS84)-SUM($CH84:CV84)</f>
        <v>-130</v>
      </c>
      <c r="BV84" s="3">
        <f>SUM($AE84,$AF84:AT84)-SUM($CH84:CW84)</f>
        <v>-130</v>
      </c>
      <c r="BW84" s="3">
        <f>SUM($AE84,$AF84:AU84)-SUM($CH84:CX84)</f>
        <v>-130</v>
      </c>
      <c r="BX84" s="3">
        <f>SUM($AE84,$AF84:AV84)-SUM($CH84:CY84)</f>
        <v>-130</v>
      </c>
      <c r="BY84" s="3">
        <f>SUM($AE84,$AF84:AW84)-SUM($CH84:CZ84)</f>
        <v>-130</v>
      </c>
      <c r="BZ84" s="3">
        <f>SUM($AE84,$AF84:AX84)-SUM($CH84:DA84)</f>
        <v>-130</v>
      </c>
      <c r="CA84" s="3">
        <f>SUM($AE84,$AF84:AY84)-SUM($CH84:DB84)</f>
        <v>-130</v>
      </c>
      <c r="CB84" s="3">
        <f>SUM($AE84,$AF84:AZ84)-SUM($CH84:DC84)</f>
        <v>-130</v>
      </c>
      <c r="CC84" s="3">
        <f>SUM($AE84,$AF84:BA84)-SUM($CH84:DD84)</f>
        <v>-130</v>
      </c>
      <c r="CI84" s="3">
        <f t="array" ref="CI84">SUMPRODUCT($J84:$U84,TRANSPOSE(CI$3:CI$14))</f>
        <v>0</v>
      </c>
      <c r="CJ84" s="3">
        <f t="array" ref="CJ84">SUMPRODUCT($J84:$U84,TRANSPOSE(CJ$3:CJ$14))</f>
        <v>0</v>
      </c>
      <c r="CK84" s="3">
        <f t="array" ref="CK84">SUMPRODUCT($J84:$U84,TRANSPOSE(CK$3:CK$14))</f>
        <v>0</v>
      </c>
      <c r="CL84" s="3">
        <f t="array" ref="CL84">SUMPRODUCT($J84:$U84,TRANSPOSE(CL$3:CL$14))</f>
        <v>0</v>
      </c>
      <c r="CM84" s="3">
        <f t="array" ref="CM84">SUMPRODUCT($J84:$U84,TRANSPOSE(CM$3:CM$14))</f>
        <v>10</v>
      </c>
      <c r="CN84" s="3">
        <f t="array" ref="CN84">SUMPRODUCT($J84:$U84,TRANSPOSE(CN$3:CN$14))</f>
        <v>15</v>
      </c>
      <c r="CO84" s="3">
        <f t="array" ref="CO84">SUMPRODUCT($J84:$U84,TRANSPOSE(CO$3:CO$14))</f>
        <v>15</v>
      </c>
      <c r="CP84" s="3">
        <f t="array" ref="CP84">SUMPRODUCT($J84:$U84,TRANSPOSE(CP$3:CP$14))</f>
        <v>20</v>
      </c>
      <c r="CQ84" s="3">
        <f t="array" ref="CQ84">SUMPRODUCT($J84:$U84,TRANSPOSE(CQ$3:CQ$14))</f>
        <v>20</v>
      </c>
      <c r="CR84" s="3">
        <f t="array" ref="CR84">SUMPRODUCT($J84:$U84,TRANSPOSE(CR$3:CR$14))</f>
        <v>20</v>
      </c>
      <c r="CS84" s="3">
        <f t="array" ref="CS84">SUMPRODUCT($J84:$U84,TRANSPOSE(CS$3:CS$14))</f>
        <v>20</v>
      </c>
      <c r="CT84" s="3">
        <f t="array" ref="CT84">SUMPRODUCT($J84:$U84,TRANSPOSE(CT$3:CT$14))</f>
        <v>10</v>
      </c>
      <c r="CU84" s="3">
        <f t="array" ref="CU84">SUMPRODUCT($J84:$U84,TRANSPOSE(CU$3:CU$14))</f>
        <v>0</v>
      </c>
      <c r="CV84" s="3">
        <f t="array" ref="CV84">SUMPRODUCT($J84:$U84,TRANSPOSE(CV$3:CV$14))</f>
        <v>0</v>
      </c>
      <c r="CW84" s="3">
        <f t="array" ref="CW84">SUMPRODUCT($J84:$U84,TRANSPOSE(CW$3:CW$14))</f>
        <v>0</v>
      </c>
      <c r="CX84" s="3">
        <f t="array" ref="CX84">SUMPRODUCT($J84:$U84,TRANSPOSE(CX$3:CX$14))</f>
        <v>0</v>
      </c>
      <c r="CY84" s="3">
        <f t="array" ref="CY84">SUMPRODUCT($J84:$U84,TRANSPOSE(CY$3:CY$14))</f>
        <v>0</v>
      </c>
      <c r="CZ84" s="3">
        <f t="array" ref="CZ84">SUMPRODUCT($J84:$U84,TRANSPOSE(CZ$3:CZ$14))</f>
        <v>0</v>
      </c>
      <c r="DA84" s="3">
        <f t="array" ref="DA84">SUMPRODUCT($J84:$U84,TRANSPOSE(DA$3:DA$14))</f>
        <v>0</v>
      </c>
      <c r="DB84" s="3">
        <f t="array" ref="DB84">SUMPRODUCT($J84:$U84,TRANSPOSE(DB$3:DB$14))</f>
        <v>0</v>
      </c>
      <c r="DC84" s="3">
        <f t="array" ref="DC84">SUMPRODUCT($J84:$U84,TRANSPOSE(DC$3:DC$14))</f>
        <v>0</v>
      </c>
      <c r="DD84" s="3">
        <f t="array" ref="DD84">SUMPRODUCT($J84:$U84,TRANSPOSE(DD$3:DD$14))</f>
        <v>0</v>
      </c>
      <c r="DE84" s="3">
        <f t="array" ref="DE84">SUMPRODUCT($J84:$U84,TRANSPOSE(DE$3:DE$14))</f>
        <v>0</v>
      </c>
    </row>
    <row r="85" spans="1:109" ht="13.5" thickBot="1" x14ac:dyDescent="0.25">
      <c r="A85" s="3">
        <v>141</v>
      </c>
      <c r="B85" s="9" t="s">
        <v>505</v>
      </c>
      <c r="C85" s="3" t="s">
        <v>13</v>
      </c>
      <c r="D85" s="3">
        <v>403787117</v>
      </c>
      <c r="F85" s="3" t="s">
        <v>506</v>
      </c>
      <c r="G85" s="3" t="s">
        <v>14</v>
      </c>
      <c r="H85" s="3">
        <v>1</v>
      </c>
      <c r="I85" s="3">
        <v>2</v>
      </c>
      <c r="J85" s="3">
        <v>2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f t="shared" si="40"/>
        <v>2</v>
      </c>
      <c r="W85" s="3">
        <f t="shared" si="41"/>
        <v>260</v>
      </c>
      <c r="X85" s="8" t="s">
        <v>363</v>
      </c>
      <c r="Y85" s="3">
        <v>245</v>
      </c>
      <c r="Z85" s="3" t="s">
        <v>55</v>
      </c>
      <c r="AA85" s="3" t="s">
        <v>56</v>
      </c>
      <c r="AB85" s="3">
        <v>91.973118825300006</v>
      </c>
      <c r="AC85" s="3" t="s">
        <v>57</v>
      </c>
      <c r="BJ85" s="3">
        <f>SUM($AE85,$AF85:AH85)-SUM($CH85:CK85)</f>
        <v>0</v>
      </c>
      <c r="BK85" s="3">
        <f>SUM($AE85,$AF85:AI85)-SUM($CH85:CL85)</f>
        <v>0</v>
      </c>
      <c r="BL85" s="3">
        <f>SUM($AE85,$AF85:AJ85)-SUM($CH85:CM85)</f>
        <v>-20</v>
      </c>
      <c r="BM85" s="3">
        <f>SUM($AE85,$AF85:AK85)-SUM($CH85:CN85)</f>
        <v>-50</v>
      </c>
      <c r="BN85" s="3">
        <f>SUM($AE85,$AF85:AL85)-SUM($CH85:CO85)</f>
        <v>-80</v>
      </c>
      <c r="BO85" s="3">
        <f>SUM($AE85,$AF85:AM85)-SUM($CH85:CP85)</f>
        <v>-120</v>
      </c>
      <c r="BP85" s="3">
        <f>SUM($AE85,$AF85:AN85)-SUM($CH85:CQ85)</f>
        <v>-160</v>
      </c>
      <c r="BQ85" s="3">
        <f>SUM($AE85,$AF85:AO85)-SUM($CH85:CR85)</f>
        <v>-200</v>
      </c>
      <c r="BR85" s="3">
        <f>SUM($AE85,$AF85:AP85)-SUM($CH85:CS85)</f>
        <v>-240</v>
      </c>
      <c r="BS85" s="3">
        <f>SUM($AE85,$AF85:AQ85)-SUM($CH85:CT85)</f>
        <v>-260</v>
      </c>
      <c r="BT85" s="3">
        <f>SUM($AE85,$AF85:AR85)-SUM($CH85:CU85)</f>
        <v>-260</v>
      </c>
      <c r="BU85" s="3">
        <f>SUM($AE85,$AF85:AS85)-SUM($CH85:CV85)</f>
        <v>-260</v>
      </c>
      <c r="BV85" s="3">
        <f>SUM($AE85,$AF85:AT85)-SUM($CH85:CW85)</f>
        <v>-260</v>
      </c>
      <c r="BW85" s="3">
        <f>SUM($AE85,$AF85:AU85)-SUM($CH85:CX85)</f>
        <v>-260</v>
      </c>
      <c r="BX85" s="3">
        <f>SUM($AE85,$AF85:AV85)-SUM($CH85:CY85)</f>
        <v>-260</v>
      </c>
      <c r="BY85" s="3">
        <f>SUM($AE85,$AF85:AW85)-SUM($CH85:CZ85)</f>
        <v>-260</v>
      </c>
      <c r="BZ85" s="3">
        <f>SUM($AE85,$AF85:AX85)-SUM($CH85:DA85)</f>
        <v>-260</v>
      </c>
      <c r="CA85" s="3">
        <f>SUM($AE85,$AF85:AY85)-SUM($CH85:DB85)</f>
        <v>-260</v>
      </c>
      <c r="CB85" s="3">
        <f>SUM($AE85,$AF85:AZ85)-SUM($CH85:DC85)</f>
        <v>-260</v>
      </c>
      <c r="CC85" s="3">
        <f>SUM($AE85,$AF85:BA85)-SUM($CH85:DD85)</f>
        <v>-260</v>
      </c>
      <c r="CI85" s="3">
        <f t="array" ref="CI85">SUMPRODUCT($J85:$U85,TRANSPOSE(CI$3:CI$14))</f>
        <v>0</v>
      </c>
      <c r="CJ85" s="3">
        <f t="array" ref="CJ85">SUMPRODUCT($J85:$U85,TRANSPOSE(CJ$3:CJ$14))</f>
        <v>0</v>
      </c>
      <c r="CK85" s="3">
        <f t="array" ref="CK85">SUMPRODUCT($J85:$U85,TRANSPOSE(CK$3:CK$14))</f>
        <v>0</v>
      </c>
      <c r="CL85" s="3">
        <f t="array" ref="CL85">SUMPRODUCT($J85:$U85,TRANSPOSE(CL$3:CL$14))</f>
        <v>0</v>
      </c>
      <c r="CM85" s="3">
        <f t="array" ref="CM85">SUMPRODUCT($J85:$U85,TRANSPOSE(CM$3:CM$14))</f>
        <v>20</v>
      </c>
      <c r="CN85" s="3">
        <f t="array" ref="CN85">SUMPRODUCT($J85:$U85,TRANSPOSE(CN$3:CN$14))</f>
        <v>30</v>
      </c>
      <c r="CO85" s="3">
        <f t="array" ref="CO85">SUMPRODUCT($J85:$U85,TRANSPOSE(CO$3:CO$14))</f>
        <v>30</v>
      </c>
      <c r="CP85" s="3">
        <f t="array" ref="CP85">SUMPRODUCT($J85:$U85,TRANSPOSE(CP$3:CP$14))</f>
        <v>40</v>
      </c>
      <c r="CQ85" s="3">
        <f t="array" ref="CQ85">SUMPRODUCT($J85:$U85,TRANSPOSE(CQ$3:CQ$14))</f>
        <v>40</v>
      </c>
      <c r="CR85" s="3">
        <f t="array" ref="CR85">SUMPRODUCT($J85:$U85,TRANSPOSE(CR$3:CR$14))</f>
        <v>40</v>
      </c>
      <c r="CS85" s="3">
        <f t="array" ref="CS85">SUMPRODUCT($J85:$U85,TRANSPOSE(CS$3:CS$14))</f>
        <v>40</v>
      </c>
      <c r="CT85" s="3">
        <f t="array" ref="CT85">SUMPRODUCT($J85:$U85,TRANSPOSE(CT$3:CT$14))</f>
        <v>20</v>
      </c>
      <c r="CU85" s="3">
        <f t="array" ref="CU85">SUMPRODUCT($J85:$U85,TRANSPOSE(CU$3:CU$14))</f>
        <v>0</v>
      </c>
      <c r="CV85" s="3">
        <f t="array" ref="CV85">SUMPRODUCT($J85:$U85,TRANSPOSE(CV$3:CV$14))</f>
        <v>0</v>
      </c>
      <c r="CW85" s="3">
        <f t="array" ref="CW85">SUMPRODUCT($J85:$U85,TRANSPOSE(CW$3:CW$14))</f>
        <v>0</v>
      </c>
      <c r="CX85" s="3">
        <f t="array" ref="CX85">SUMPRODUCT($J85:$U85,TRANSPOSE(CX$3:CX$14))</f>
        <v>0</v>
      </c>
      <c r="CY85" s="3">
        <f t="array" ref="CY85">SUMPRODUCT($J85:$U85,TRANSPOSE(CY$3:CY$14))</f>
        <v>0</v>
      </c>
      <c r="CZ85" s="3">
        <f t="array" ref="CZ85">SUMPRODUCT($J85:$U85,TRANSPOSE(CZ$3:CZ$14))</f>
        <v>0</v>
      </c>
      <c r="DA85" s="3">
        <f t="array" ref="DA85">SUMPRODUCT($J85:$U85,TRANSPOSE(DA$3:DA$14))</f>
        <v>0</v>
      </c>
      <c r="DB85" s="3">
        <f t="array" ref="DB85">SUMPRODUCT($J85:$U85,TRANSPOSE(DB$3:DB$14))</f>
        <v>0</v>
      </c>
      <c r="DC85" s="3">
        <f t="array" ref="DC85">SUMPRODUCT($J85:$U85,TRANSPOSE(DC$3:DC$14))</f>
        <v>0</v>
      </c>
      <c r="DD85" s="3">
        <f t="array" ref="DD85">SUMPRODUCT($J85:$U85,TRANSPOSE(DD$3:DD$14))</f>
        <v>0</v>
      </c>
      <c r="DE85" s="3">
        <f t="array" ref="DE85">SUMPRODUCT($J85:$U85,TRANSPOSE(DE$3:DE$14))</f>
        <v>0</v>
      </c>
    </row>
    <row r="86" spans="1:109" ht="13.5" thickBot="1" x14ac:dyDescent="0.25">
      <c r="A86" s="3">
        <v>144</v>
      </c>
      <c r="B86" s="9" t="s">
        <v>507</v>
      </c>
      <c r="C86" s="3" t="s">
        <v>13</v>
      </c>
      <c r="D86" s="3">
        <v>403776248</v>
      </c>
      <c r="F86" s="3" t="s">
        <v>508</v>
      </c>
      <c r="G86" s="3" t="s">
        <v>14</v>
      </c>
      <c r="H86" s="3">
        <v>1</v>
      </c>
      <c r="I86" s="3">
        <v>5</v>
      </c>
      <c r="J86" s="3">
        <v>5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f t="shared" si="40"/>
        <v>5</v>
      </c>
      <c r="W86" s="3">
        <f t="shared" si="41"/>
        <v>650</v>
      </c>
      <c r="X86" s="8" t="s">
        <v>363</v>
      </c>
      <c r="Y86" s="3">
        <v>245</v>
      </c>
      <c r="Z86" s="3" t="s">
        <v>55</v>
      </c>
      <c r="AA86" s="3" t="s">
        <v>56</v>
      </c>
      <c r="AB86" s="3">
        <v>91.973118825300006</v>
      </c>
      <c r="AC86" s="3" t="s">
        <v>57</v>
      </c>
      <c r="BJ86" s="3">
        <f>SUM($AE86,$AF86:AH86)-SUM($CH86:CK86)</f>
        <v>0</v>
      </c>
      <c r="BK86" s="3">
        <f>SUM($AE86,$AF86:AI86)-SUM($CH86:CL86)</f>
        <v>0</v>
      </c>
      <c r="BL86" s="3">
        <f>SUM($AE86,$AF86:AJ86)-SUM($CH86:CM86)</f>
        <v>-50</v>
      </c>
      <c r="BM86" s="3">
        <f>SUM($AE86,$AF86:AK86)-SUM($CH86:CN86)</f>
        <v>-125</v>
      </c>
      <c r="BN86" s="3">
        <f>SUM($AE86,$AF86:AL86)-SUM($CH86:CO86)</f>
        <v>-200</v>
      </c>
      <c r="BO86" s="3">
        <f>SUM($AE86,$AF86:AM86)-SUM($CH86:CP86)</f>
        <v>-300</v>
      </c>
      <c r="BP86" s="3">
        <f>SUM($AE86,$AF86:AN86)-SUM($CH86:CQ86)</f>
        <v>-400</v>
      </c>
      <c r="BQ86" s="3">
        <f>SUM($AE86,$AF86:AO86)-SUM($CH86:CR86)</f>
        <v>-500</v>
      </c>
      <c r="BR86" s="3">
        <f>SUM($AE86,$AF86:AP86)-SUM($CH86:CS86)</f>
        <v>-600</v>
      </c>
      <c r="BS86" s="3">
        <f>SUM($AE86,$AF86:AQ86)-SUM($CH86:CT86)</f>
        <v>-650</v>
      </c>
      <c r="BT86" s="3">
        <f>SUM($AE86,$AF86:AR86)-SUM($CH86:CU86)</f>
        <v>-650</v>
      </c>
      <c r="BU86" s="3">
        <f>SUM($AE86,$AF86:AS86)-SUM($CH86:CV86)</f>
        <v>-650</v>
      </c>
      <c r="BV86" s="3">
        <f>SUM($AE86,$AF86:AT86)-SUM($CH86:CW86)</f>
        <v>-650</v>
      </c>
      <c r="BW86" s="3">
        <f>SUM($AE86,$AF86:AU86)-SUM($CH86:CX86)</f>
        <v>-650</v>
      </c>
      <c r="BX86" s="3">
        <f>SUM($AE86,$AF86:AV86)-SUM($CH86:CY86)</f>
        <v>-650</v>
      </c>
      <c r="BY86" s="3">
        <f>SUM($AE86,$AF86:AW86)-SUM($CH86:CZ86)</f>
        <v>-650</v>
      </c>
      <c r="BZ86" s="3">
        <f>SUM($AE86,$AF86:AX86)-SUM($CH86:DA86)</f>
        <v>-650</v>
      </c>
      <c r="CA86" s="3">
        <f>SUM($AE86,$AF86:AY86)-SUM($CH86:DB86)</f>
        <v>-650</v>
      </c>
      <c r="CB86" s="3">
        <f>SUM($AE86,$AF86:AZ86)-SUM($CH86:DC86)</f>
        <v>-650</v>
      </c>
      <c r="CC86" s="3">
        <f>SUM($AE86,$AF86:BA86)-SUM($CH86:DD86)</f>
        <v>-650</v>
      </c>
      <c r="CI86" s="3">
        <f t="array" ref="CI86">SUMPRODUCT($J86:$U86,TRANSPOSE(CI$3:CI$14))</f>
        <v>0</v>
      </c>
      <c r="CJ86" s="3">
        <f t="array" ref="CJ86">SUMPRODUCT($J86:$U86,TRANSPOSE(CJ$3:CJ$14))</f>
        <v>0</v>
      </c>
      <c r="CK86" s="3">
        <f t="array" ref="CK86">SUMPRODUCT($J86:$U86,TRANSPOSE(CK$3:CK$14))</f>
        <v>0</v>
      </c>
      <c r="CL86" s="3">
        <f t="array" ref="CL86">SUMPRODUCT($J86:$U86,TRANSPOSE(CL$3:CL$14))</f>
        <v>0</v>
      </c>
      <c r="CM86" s="3">
        <f t="array" ref="CM86">SUMPRODUCT($J86:$U86,TRANSPOSE(CM$3:CM$14))</f>
        <v>50</v>
      </c>
      <c r="CN86" s="3">
        <f t="array" ref="CN86">SUMPRODUCT($J86:$U86,TRANSPOSE(CN$3:CN$14))</f>
        <v>75</v>
      </c>
      <c r="CO86" s="3">
        <f t="array" ref="CO86">SUMPRODUCT($J86:$U86,TRANSPOSE(CO$3:CO$14))</f>
        <v>75</v>
      </c>
      <c r="CP86" s="3">
        <f t="array" ref="CP86">SUMPRODUCT($J86:$U86,TRANSPOSE(CP$3:CP$14))</f>
        <v>100</v>
      </c>
      <c r="CQ86" s="3">
        <f t="array" ref="CQ86">SUMPRODUCT($J86:$U86,TRANSPOSE(CQ$3:CQ$14))</f>
        <v>100</v>
      </c>
      <c r="CR86" s="3">
        <f t="array" ref="CR86">SUMPRODUCT($J86:$U86,TRANSPOSE(CR$3:CR$14))</f>
        <v>100</v>
      </c>
      <c r="CS86" s="3">
        <f t="array" ref="CS86">SUMPRODUCT($J86:$U86,TRANSPOSE(CS$3:CS$14))</f>
        <v>100</v>
      </c>
      <c r="CT86" s="3">
        <f t="array" ref="CT86">SUMPRODUCT($J86:$U86,TRANSPOSE(CT$3:CT$14))</f>
        <v>50</v>
      </c>
      <c r="CU86" s="3">
        <f t="array" ref="CU86">SUMPRODUCT($J86:$U86,TRANSPOSE(CU$3:CU$14))</f>
        <v>0</v>
      </c>
      <c r="CV86" s="3">
        <f t="array" ref="CV86">SUMPRODUCT($J86:$U86,TRANSPOSE(CV$3:CV$14))</f>
        <v>0</v>
      </c>
      <c r="CW86" s="3">
        <f t="array" ref="CW86">SUMPRODUCT($J86:$U86,TRANSPOSE(CW$3:CW$14))</f>
        <v>0</v>
      </c>
      <c r="CX86" s="3">
        <f t="array" ref="CX86">SUMPRODUCT($J86:$U86,TRANSPOSE(CX$3:CX$14))</f>
        <v>0</v>
      </c>
      <c r="CY86" s="3">
        <f t="array" ref="CY86">SUMPRODUCT($J86:$U86,TRANSPOSE(CY$3:CY$14))</f>
        <v>0</v>
      </c>
      <c r="CZ86" s="3">
        <f t="array" ref="CZ86">SUMPRODUCT($J86:$U86,TRANSPOSE(CZ$3:CZ$14))</f>
        <v>0</v>
      </c>
      <c r="DA86" s="3">
        <f t="array" ref="DA86">SUMPRODUCT($J86:$U86,TRANSPOSE(DA$3:DA$14))</f>
        <v>0</v>
      </c>
      <c r="DB86" s="3">
        <f t="array" ref="DB86">SUMPRODUCT($J86:$U86,TRANSPOSE(DB$3:DB$14))</f>
        <v>0</v>
      </c>
      <c r="DC86" s="3">
        <f t="array" ref="DC86">SUMPRODUCT($J86:$U86,TRANSPOSE(DC$3:DC$14))</f>
        <v>0</v>
      </c>
      <c r="DD86" s="3">
        <f t="array" ref="DD86">SUMPRODUCT($J86:$U86,TRANSPOSE(DD$3:DD$14))</f>
        <v>0</v>
      </c>
      <c r="DE86" s="3">
        <f t="array" ref="DE86">SUMPRODUCT($J86:$U86,TRANSPOSE(DE$3:DE$14))</f>
        <v>0</v>
      </c>
    </row>
    <row r="87" spans="1:109" ht="13.5" thickBot="1" x14ac:dyDescent="0.25">
      <c r="A87" s="3">
        <v>146</v>
      </c>
      <c r="B87" s="9" t="s">
        <v>509</v>
      </c>
      <c r="C87" s="3" t="s">
        <v>13</v>
      </c>
      <c r="D87" s="3">
        <v>417832196</v>
      </c>
      <c r="F87" s="3" t="s">
        <v>510</v>
      </c>
      <c r="G87" s="3" t="s">
        <v>14</v>
      </c>
      <c r="H87" s="3">
        <v>1</v>
      </c>
      <c r="I87" s="3">
        <v>1</v>
      </c>
      <c r="J87" s="3">
        <v>0</v>
      </c>
      <c r="K87" s="3">
        <v>1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f t="shared" si="40"/>
        <v>1</v>
      </c>
      <c r="W87" s="3">
        <f t="shared" si="41"/>
        <v>130</v>
      </c>
      <c r="X87" s="8" t="s">
        <v>363</v>
      </c>
      <c r="Y87" s="3">
        <v>16</v>
      </c>
      <c r="Z87" s="3" t="s">
        <v>55</v>
      </c>
      <c r="AA87" s="3" t="s">
        <v>56</v>
      </c>
      <c r="AB87" s="3">
        <v>91.973118825300006</v>
      </c>
      <c r="AC87" s="3" t="s">
        <v>57</v>
      </c>
      <c r="BJ87" s="3">
        <f>SUM($AE87,$AF87:AH87)-SUM($CH87:CK87)</f>
        <v>0</v>
      </c>
      <c r="BK87" s="3">
        <f>SUM($AE87,$AF87:AI87)-SUM($CH87:CL87)</f>
        <v>-10</v>
      </c>
      <c r="BL87" s="3">
        <f>SUM($AE87,$AF87:AJ87)-SUM($CH87:CM87)</f>
        <v>-25</v>
      </c>
      <c r="BM87" s="3">
        <f>SUM($AE87,$AF87:AK87)-SUM($CH87:CN87)</f>
        <v>-40</v>
      </c>
      <c r="BN87" s="3">
        <f>SUM($AE87,$AF87:AL87)-SUM($CH87:CO87)</f>
        <v>-60</v>
      </c>
      <c r="BO87" s="3">
        <f>SUM($AE87,$AF87:AM87)-SUM($CH87:CP87)</f>
        <v>-80</v>
      </c>
      <c r="BP87" s="3">
        <f>SUM($AE87,$AF87:AN87)-SUM($CH87:CQ87)</f>
        <v>-100</v>
      </c>
      <c r="BQ87" s="3">
        <f>SUM($AE87,$AF87:AO87)-SUM($CH87:CR87)</f>
        <v>-120</v>
      </c>
      <c r="BR87" s="3">
        <f>SUM($AE87,$AF87:AP87)-SUM($CH87:CS87)</f>
        <v>-130</v>
      </c>
      <c r="BS87" s="3">
        <f>SUM($AE87,$AF87:AQ87)-SUM($CH87:CT87)</f>
        <v>-130</v>
      </c>
      <c r="BT87" s="3">
        <f>SUM($AE87,$AF87:AR87)-SUM($CH87:CU87)</f>
        <v>-130</v>
      </c>
      <c r="BU87" s="3">
        <f>SUM($AE87,$AF87:AS87)-SUM($CH87:CV87)</f>
        <v>-130</v>
      </c>
      <c r="BV87" s="3">
        <f>SUM($AE87,$AF87:AT87)-SUM($CH87:CW87)</f>
        <v>-130</v>
      </c>
      <c r="BW87" s="3">
        <f>SUM($AE87,$AF87:AU87)-SUM($CH87:CX87)</f>
        <v>-130</v>
      </c>
      <c r="BX87" s="3">
        <f>SUM($AE87,$AF87:AV87)-SUM($CH87:CY87)</f>
        <v>-130</v>
      </c>
      <c r="BY87" s="3">
        <f>SUM($AE87,$AF87:AW87)-SUM($CH87:CZ87)</f>
        <v>-130</v>
      </c>
      <c r="BZ87" s="3">
        <f>SUM($AE87,$AF87:AX87)-SUM($CH87:DA87)</f>
        <v>-130</v>
      </c>
      <c r="CA87" s="3">
        <f>SUM($AE87,$AF87:AY87)-SUM($CH87:DB87)</f>
        <v>-130</v>
      </c>
      <c r="CB87" s="3">
        <f>SUM($AE87,$AF87:AZ87)-SUM($CH87:DC87)</f>
        <v>-130</v>
      </c>
      <c r="CC87" s="3">
        <f>SUM($AE87,$AF87:BA87)-SUM($CH87:DD87)</f>
        <v>-130</v>
      </c>
      <c r="CI87" s="3">
        <f t="array" ref="CI87">SUMPRODUCT($J87:$U87,TRANSPOSE(CI$3:CI$14))</f>
        <v>0</v>
      </c>
      <c r="CJ87" s="3">
        <f t="array" ref="CJ87">SUMPRODUCT($J87:$U87,TRANSPOSE(CJ$3:CJ$14))</f>
        <v>0</v>
      </c>
      <c r="CK87" s="3">
        <f t="array" ref="CK87">SUMPRODUCT($J87:$U87,TRANSPOSE(CK$3:CK$14))</f>
        <v>0</v>
      </c>
      <c r="CL87" s="3">
        <f t="array" ref="CL87">SUMPRODUCT($J87:$U87,TRANSPOSE(CL$3:CL$14))</f>
        <v>10</v>
      </c>
      <c r="CM87" s="3">
        <f t="array" ref="CM87">SUMPRODUCT($J87:$U87,TRANSPOSE(CM$3:CM$14))</f>
        <v>15</v>
      </c>
      <c r="CN87" s="3">
        <f t="array" ref="CN87">SUMPRODUCT($J87:$U87,TRANSPOSE(CN$3:CN$14))</f>
        <v>15</v>
      </c>
      <c r="CO87" s="3">
        <f t="array" ref="CO87">SUMPRODUCT($J87:$U87,TRANSPOSE(CO$3:CO$14))</f>
        <v>20</v>
      </c>
      <c r="CP87" s="3">
        <f t="array" ref="CP87">SUMPRODUCT($J87:$U87,TRANSPOSE(CP$3:CP$14))</f>
        <v>20</v>
      </c>
      <c r="CQ87" s="3">
        <f t="array" ref="CQ87">SUMPRODUCT($J87:$U87,TRANSPOSE(CQ$3:CQ$14))</f>
        <v>20</v>
      </c>
      <c r="CR87" s="3">
        <f t="array" ref="CR87">SUMPRODUCT($J87:$U87,TRANSPOSE(CR$3:CR$14))</f>
        <v>20</v>
      </c>
      <c r="CS87" s="3">
        <f t="array" ref="CS87">SUMPRODUCT($J87:$U87,TRANSPOSE(CS$3:CS$14))</f>
        <v>10</v>
      </c>
      <c r="CT87" s="3">
        <f t="array" ref="CT87">SUMPRODUCT($J87:$U87,TRANSPOSE(CT$3:CT$14))</f>
        <v>0</v>
      </c>
      <c r="CU87" s="3">
        <f t="array" ref="CU87">SUMPRODUCT($J87:$U87,TRANSPOSE(CU$3:CU$14))</f>
        <v>0</v>
      </c>
      <c r="CV87" s="3">
        <f t="array" ref="CV87">SUMPRODUCT($J87:$U87,TRANSPOSE(CV$3:CV$14))</f>
        <v>0</v>
      </c>
      <c r="CW87" s="3">
        <f t="array" ref="CW87">SUMPRODUCT($J87:$U87,TRANSPOSE(CW$3:CW$14))</f>
        <v>0</v>
      </c>
      <c r="CX87" s="3">
        <f t="array" ref="CX87">SUMPRODUCT($J87:$U87,TRANSPOSE(CX$3:CX$14))</f>
        <v>0</v>
      </c>
      <c r="CY87" s="3">
        <f t="array" ref="CY87">SUMPRODUCT($J87:$U87,TRANSPOSE(CY$3:CY$14))</f>
        <v>0</v>
      </c>
      <c r="CZ87" s="3">
        <f t="array" ref="CZ87">SUMPRODUCT($J87:$U87,TRANSPOSE(CZ$3:CZ$14))</f>
        <v>0</v>
      </c>
      <c r="DA87" s="3">
        <f t="array" ref="DA87">SUMPRODUCT($J87:$U87,TRANSPOSE(DA$3:DA$14))</f>
        <v>0</v>
      </c>
      <c r="DB87" s="3">
        <f t="array" ref="DB87">SUMPRODUCT($J87:$U87,TRANSPOSE(DB$3:DB$14))</f>
        <v>0</v>
      </c>
      <c r="DC87" s="3">
        <f t="array" ref="DC87">SUMPRODUCT($J87:$U87,TRANSPOSE(DC$3:DC$14))</f>
        <v>0</v>
      </c>
      <c r="DD87" s="3">
        <f t="array" ref="DD87">SUMPRODUCT($J87:$U87,TRANSPOSE(DD$3:DD$14))</f>
        <v>0</v>
      </c>
      <c r="DE87" s="3">
        <f t="array" ref="DE87">SUMPRODUCT($J87:$U87,TRANSPOSE(DE$3:DE$14))</f>
        <v>0</v>
      </c>
    </row>
    <row r="88" spans="1:109" ht="13.5" thickBot="1" x14ac:dyDescent="0.25">
      <c r="A88" s="3">
        <v>147</v>
      </c>
      <c r="B88" s="9" t="s">
        <v>511</v>
      </c>
      <c r="C88" s="3" t="s">
        <v>13</v>
      </c>
      <c r="D88" s="3">
        <v>417305082</v>
      </c>
      <c r="F88" s="3" t="s">
        <v>512</v>
      </c>
      <c r="G88" s="3" t="s">
        <v>14</v>
      </c>
      <c r="H88" s="3">
        <v>1</v>
      </c>
      <c r="I88" s="3">
        <v>4</v>
      </c>
      <c r="J88" s="3">
        <v>0</v>
      </c>
      <c r="K88" s="3">
        <v>2</v>
      </c>
      <c r="L88" s="3">
        <v>0</v>
      </c>
      <c r="M88" s="3">
        <v>0</v>
      </c>
      <c r="N88" s="3">
        <v>2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f t="shared" si="40"/>
        <v>4</v>
      </c>
      <c r="W88" s="3">
        <f t="shared" si="41"/>
        <v>520</v>
      </c>
      <c r="X88" s="8" t="s">
        <v>363</v>
      </c>
      <c r="Y88" s="3">
        <v>8</v>
      </c>
      <c r="Z88" s="3" t="s">
        <v>55</v>
      </c>
      <c r="AA88" s="3" t="s">
        <v>56</v>
      </c>
      <c r="AB88" s="3">
        <v>91.973118825300006</v>
      </c>
      <c r="AC88" s="3" t="s">
        <v>57</v>
      </c>
      <c r="BJ88" s="3">
        <f>SUM($AE88,$AF88:AH88)-SUM($CH88:CK88)</f>
        <v>0</v>
      </c>
      <c r="BK88" s="3">
        <f>SUM($AE88,$AF88:AI88)-SUM($CH88:CL88)</f>
        <v>-40</v>
      </c>
      <c r="BL88" s="3">
        <f>SUM($AE88,$AF88:AJ88)-SUM($CH88:CM88)</f>
        <v>-100</v>
      </c>
      <c r="BM88" s="3">
        <f>SUM($AE88,$AF88:AK88)-SUM($CH88:CN88)</f>
        <v>-160</v>
      </c>
      <c r="BN88" s="3">
        <f>SUM($AE88,$AF88:AL88)-SUM($CH88:CO88)</f>
        <v>-240</v>
      </c>
      <c r="BO88" s="3">
        <f>SUM($AE88,$AF88:AM88)-SUM($CH88:CP88)</f>
        <v>-320</v>
      </c>
      <c r="BP88" s="3">
        <f>SUM($AE88,$AF88:AN88)-SUM($CH88:CQ88)</f>
        <v>-400</v>
      </c>
      <c r="BQ88" s="3">
        <f>SUM($AE88,$AF88:AO88)-SUM($CH88:CR88)</f>
        <v>-480</v>
      </c>
      <c r="BR88" s="3">
        <f>SUM($AE88,$AF88:AP88)-SUM($CH88:CS88)</f>
        <v>-520</v>
      </c>
      <c r="BS88" s="3">
        <f>SUM($AE88,$AF88:AQ88)-SUM($CH88:CT88)</f>
        <v>-520</v>
      </c>
      <c r="BT88" s="3">
        <f>SUM($AE88,$AF88:AR88)-SUM($CH88:CU88)</f>
        <v>-520</v>
      </c>
      <c r="BU88" s="3">
        <f>SUM($AE88,$AF88:AS88)-SUM($CH88:CV88)</f>
        <v>-520</v>
      </c>
      <c r="BV88" s="3">
        <f>SUM($AE88,$AF88:AT88)-SUM($CH88:CW88)</f>
        <v>-520</v>
      </c>
      <c r="BW88" s="3">
        <f>SUM($AE88,$AF88:AU88)-SUM($CH88:CX88)</f>
        <v>-520</v>
      </c>
      <c r="BX88" s="3">
        <f>SUM($AE88,$AF88:AV88)-SUM($CH88:CY88)</f>
        <v>-520</v>
      </c>
      <c r="BY88" s="3">
        <f>SUM($AE88,$AF88:AW88)-SUM($CH88:CZ88)</f>
        <v>-520</v>
      </c>
      <c r="BZ88" s="3">
        <f>SUM($AE88,$AF88:AX88)-SUM($CH88:DA88)</f>
        <v>-520</v>
      </c>
      <c r="CA88" s="3">
        <f>SUM($AE88,$AF88:AY88)-SUM($CH88:DB88)</f>
        <v>-520</v>
      </c>
      <c r="CB88" s="3">
        <f>SUM($AE88,$AF88:AZ88)-SUM($CH88:DC88)</f>
        <v>-520</v>
      </c>
      <c r="CC88" s="3">
        <f>SUM($AE88,$AF88:BA88)-SUM($CH88:DD88)</f>
        <v>-520</v>
      </c>
      <c r="CI88" s="3">
        <f t="array" ref="CI88">SUMPRODUCT($J88:$U88,TRANSPOSE(CI$3:CI$14))</f>
        <v>0</v>
      </c>
      <c r="CJ88" s="3">
        <f t="array" ref="CJ88">SUMPRODUCT($J88:$U88,TRANSPOSE(CJ$3:CJ$14))</f>
        <v>0</v>
      </c>
      <c r="CK88" s="3">
        <f t="array" ref="CK88">SUMPRODUCT($J88:$U88,TRANSPOSE(CK$3:CK$14))</f>
        <v>0</v>
      </c>
      <c r="CL88" s="3">
        <f t="array" ref="CL88">SUMPRODUCT($J88:$U88,TRANSPOSE(CL$3:CL$14))</f>
        <v>40</v>
      </c>
      <c r="CM88" s="3">
        <f t="array" ref="CM88">SUMPRODUCT($J88:$U88,TRANSPOSE(CM$3:CM$14))</f>
        <v>60</v>
      </c>
      <c r="CN88" s="3">
        <f t="array" ref="CN88">SUMPRODUCT($J88:$U88,TRANSPOSE(CN$3:CN$14))</f>
        <v>60</v>
      </c>
      <c r="CO88" s="3">
        <f t="array" ref="CO88">SUMPRODUCT($J88:$U88,TRANSPOSE(CO$3:CO$14))</f>
        <v>80</v>
      </c>
      <c r="CP88" s="3">
        <f t="array" ref="CP88">SUMPRODUCT($J88:$U88,TRANSPOSE(CP$3:CP$14))</f>
        <v>80</v>
      </c>
      <c r="CQ88" s="3">
        <f t="array" ref="CQ88">SUMPRODUCT($J88:$U88,TRANSPOSE(CQ$3:CQ$14))</f>
        <v>80</v>
      </c>
      <c r="CR88" s="3">
        <f t="array" ref="CR88">SUMPRODUCT($J88:$U88,TRANSPOSE(CR$3:CR$14))</f>
        <v>80</v>
      </c>
      <c r="CS88" s="3">
        <f t="array" ref="CS88">SUMPRODUCT($J88:$U88,TRANSPOSE(CS$3:CS$14))</f>
        <v>40</v>
      </c>
      <c r="CT88" s="3">
        <f t="array" ref="CT88">SUMPRODUCT($J88:$U88,TRANSPOSE(CT$3:CT$14))</f>
        <v>0</v>
      </c>
      <c r="CU88" s="3">
        <f t="array" ref="CU88">SUMPRODUCT($J88:$U88,TRANSPOSE(CU$3:CU$14))</f>
        <v>0</v>
      </c>
      <c r="CV88" s="3">
        <f t="array" ref="CV88">SUMPRODUCT($J88:$U88,TRANSPOSE(CV$3:CV$14))</f>
        <v>0</v>
      </c>
      <c r="CW88" s="3">
        <f t="array" ref="CW88">SUMPRODUCT($J88:$U88,TRANSPOSE(CW$3:CW$14))</f>
        <v>0</v>
      </c>
      <c r="CX88" s="3">
        <f t="array" ref="CX88">SUMPRODUCT($J88:$U88,TRANSPOSE(CX$3:CX$14))</f>
        <v>0</v>
      </c>
      <c r="CY88" s="3">
        <f t="array" ref="CY88">SUMPRODUCT($J88:$U88,TRANSPOSE(CY$3:CY$14))</f>
        <v>0</v>
      </c>
      <c r="CZ88" s="3">
        <f t="array" ref="CZ88">SUMPRODUCT($J88:$U88,TRANSPOSE(CZ$3:CZ$14))</f>
        <v>0</v>
      </c>
      <c r="DA88" s="3">
        <f t="array" ref="DA88">SUMPRODUCT($J88:$U88,TRANSPOSE(DA$3:DA$14))</f>
        <v>0</v>
      </c>
      <c r="DB88" s="3">
        <f t="array" ref="DB88">SUMPRODUCT($J88:$U88,TRANSPOSE(DB$3:DB$14))</f>
        <v>0</v>
      </c>
      <c r="DC88" s="3">
        <f t="array" ref="DC88">SUMPRODUCT($J88:$U88,TRANSPOSE(DC$3:DC$14))</f>
        <v>0</v>
      </c>
      <c r="DD88" s="3">
        <f t="array" ref="DD88">SUMPRODUCT($J88:$U88,TRANSPOSE(DD$3:DD$14))</f>
        <v>0</v>
      </c>
      <c r="DE88" s="3">
        <f t="array" ref="DE88">SUMPRODUCT($J88:$U88,TRANSPOSE(DE$3:DE$14))</f>
        <v>0</v>
      </c>
    </row>
    <row r="89" spans="1:109" ht="13.5" thickBot="1" x14ac:dyDescent="0.25">
      <c r="A89" s="3">
        <v>148</v>
      </c>
      <c r="B89" s="9" t="s">
        <v>513</v>
      </c>
      <c r="C89" s="3" t="s">
        <v>13</v>
      </c>
      <c r="D89" s="3">
        <v>420113883</v>
      </c>
      <c r="F89" s="3" t="s">
        <v>455</v>
      </c>
      <c r="G89" s="3" t="s">
        <v>14</v>
      </c>
      <c r="H89" s="3">
        <v>1</v>
      </c>
      <c r="I89" s="3">
        <v>2</v>
      </c>
      <c r="J89" s="3">
        <v>0</v>
      </c>
      <c r="K89" s="3">
        <v>2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f t="shared" si="40"/>
        <v>2</v>
      </c>
      <c r="W89" s="3">
        <f t="shared" si="41"/>
        <v>260</v>
      </c>
      <c r="X89" s="8" t="s">
        <v>363</v>
      </c>
      <c r="Y89" s="3">
        <v>152</v>
      </c>
      <c r="Z89" s="3" t="s">
        <v>55</v>
      </c>
      <c r="AA89" s="3" t="s">
        <v>56</v>
      </c>
      <c r="AB89" s="3">
        <v>91.973118825300006</v>
      </c>
      <c r="AC89" s="3" t="s">
        <v>57</v>
      </c>
      <c r="BJ89" s="3">
        <f>SUM($AE89,$AF89:AH89)-SUM($CH89:CK89)</f>
        <v>0</v>
      </c>
      <c r="BK89" s="3">
        <f>SUM($AE89,$AF89:AI89)-SUM($CH89:CL89)</f>
        <v>-20</v>
      </c>
      <c r="BL89" s="3">
        <f>SUM($AE89,$AF89:AJ89)-SUM($CH89:CM89)</f>
        <v>-50</v>
      </c>
      <c r="BM89" s="3">
        <f>SUM($AE89,$AF89:AK89)-SUM($CH89:CN89)</f>
        <v>-80</v>
      </c>
      <c r="BN89" s="3">
        <f>SUM($AE89,$AF89:AL89)-SUM($CH89:CO89)</f>
        <v>-120</v>
      </c>
      <c r="BO89" s="3">
        <f>SUM($AE89,$AF89:AM89)-SUM($CH89:CP89)</f>
        <v>-160</v>
      </c>
      <c r="BP89" s="3">
        <f>SUM($AE89,$AF89:AN89)-SUM($CH89:CQ89)</f>
        <v>-200</v>
      </c>
      <c r="BQ89" s="3">
        <f>SUM($AE89,$AF89:AO89)-SUM($CH89:CR89)</f>
        <v>-240</v>
      </c>
      <c r="BR89" s="3">
        <f>SUM($AE89,$AF89:AP89)-SUM($CH89:CS89)</f>
        <v>-260</v>
      </c>
      <c r="BS89" s="3">
        <f>SUM($AE89,$AF89:AQ89)-SUM($CH89:CT89)</f>
        <v>-260</v>
      </c>
      <c r="BT89" s="3">
        <f>SUM($AE89,$AF89:AR89)-SUM($CH89:CU89)</f>
        <v>-260</v>
      </c>
      <c r="BU89" s="3">
        <f>SUM($AE89,$AF89:AS89)-SUM($CH89:CV89)</f>
        <v>-260</v>
      </c>
      <c r="BV89" s="3">
        <f>SUM($AE89,$AF89:AT89)-SUM($CH89:CW89)</f>
        <v>-260</v>
      </c>
      <c r="BW89" s="3">
        <f>SUM($AE89,$AF89:AU89)-SUM($CH89:CX89)</f>
        <v>-260</v>
      </c>
      <c r="BX89" s="3">
        <f>SUM($AE89,$AF89:AV89)-SUM($CH89:CY89)</f>
        <v>-260</v>
      </c>
      <c r="BY89" s="3">
        <f>SUM($AE89,$AF89:AW89)-SUM($CH89:CZ89)</f>
        <v>-260</v>
      </c>
      <c r="BZ89" s="3">
        <f>SUM($AE89,$AF89:AX89)-SUM($CH89:DA89)</f>
        <v>-260</v>
      </c>
      <c r="CA89" s="3">
        <f>SUM($AE89,$AF89:AY89)-SUM($CH89:DB89)</f>
        <v>-260</v>
      </c>
      <c r="CB89" s="3">
        <f>SUM($AE89,$AF89:AZ89)-SUM($CH89:DC89)</f>
        <v>-260</v>
      </c>
      <c r="CC89" s="3">
        <f>SUM($AE89,$AF89:BA89)-SUM($CH89:DD89)</f>
        <v>-260</v>
      </c>
      <c r="CI89" s="3">
        <f t="array" ref="CI89">SUMPRODUCT($J89:$U89,TRANSPOSE(CI$3:CI$14))</f>
        <v>0</v>
      </c>
      <c r="CJ89" s="3">
        <f t="array" ref="CJ89">SUMPRODUCT($J89:$U89,TRANSPOSE(CJ$3:CJ$14))</f>
        <v>0</v>
      </c>
      <c r="CK89" s="3">
        <f t="array" ref="CK89">SUMPRODUCT($J89:$U89,TRANSPOSE(CK$3:CK$14))</f>
        <v>0</v>
      </c>
      <c r="CL89" s="3">
        <f t="array" ref="CL89">SUMPRODUCT($J89:$U89,TRANSPOSE(CL$3:CL$14))</f>
        <v>20</v>
      </c>
      <c r="CM89" s="3">
        <f t="array" ref="CM89">SUMPRODUCT($J89:$U89,TRANSPOSE(CM$3:CM$14))</f>
        <v>30</v>
      </c>
      <c r="CN89" s="3">
        <f t="array" ref="CN89">SUMPRODUCT($J89:$U89,TRANSPOSE(CN$3:CN$14))</f>
        <v>30</v>
      </c>
      <c r="CO89" s="3">
        <f t="array" ref="CO89">SUMPRODUCT($J89:$U89,TRANSPOSE(CO$3:CO$14))</f>
        <v>40</v>
      </c>
      <c r="CP89" s="3">
        <f t="array" ref="CP89">SUMPRODUCT($J89:$U89,TRANSPOSE(CP$3:CP$14))</f>
        <v>40</v>
      </c>
      <c r="CQ89" s="3">
        <f t="array" ref="CQ89">SUMPRODUCT($J89:$U89,TRANSPOSE(CQ$3:CQ$14))</f>
        <v>40</v>
      </c>
      <c r="CR89" s="3">
        <f t="array" ref="CR89">SUMPRODUCT($J89:$U89,TRANSPOSE(CR$3:CR$14))</f>
        <v>40</v>
      </c>
      <c r="CS89" s="3">
        <f t="array" ref="CS89">SUMPRODUCT($J89:$U89,TRANSPOSE(CS$3:CS$14))</f>
        <v>20</v>
      </c>
      <c r="CT89" s="3">
        <f t="array" ref="CT89">SUMPRODUCT($J89:$U89,TRANSPOSE(CT$3:CT$14))</f>
        <v>0</v>
      </c>
      <c r="CU89" s="3">
        <f t="array" ref="CU89">SUMPRODUCT($J89:$U89,TRANSPOSE(CU$3:CU$14))</f>
        <v>0</v>
      </c>
      <c r="CV89" s="3">
        <f t="array" ref="CV89">SUMPRODUCT($J89:$U89,TRANSPOSE(CV$3:CV$14))</f>
        <v>0</v>
      </c>
      <c r="CW89" s="3">
        <f t="array" ref="CW89">SUMPRODUCT($J89:$U89,TRANSPOSE(CW$3:CW$14))</f>
        <v>0</v>
      </c>
      <c r="CX89" s="3">
        <f t="array" ref="CX89">SUMPRODUCT($J89:$U89,TRANSPOSE(CX$3:CX$14))</f>
        <v>0</v>
      </c>
      <c r="CY89" s="3">
        <f t="array" ref="CY89">SUMPRODUCT($J89:$U89,TRANSPOSE(CY$3:CY$14))</f>
        <v>0</v>
      </c>
      <c r="CZ89" s="3">
        <f t="array" ref="CZ89">SUMPRODUCT($J89:$U89,TRANSPOSE(CZ$3:CZ$14))</f>
        <v>0</v>
      </c>
      <c r="DA89" s="3">
        <f t="array" ref="DA89">SUMPRODUCT($J89:$U89,TRANSPOSE(DA$3:DA$14))</f>
        <v>0</v>
      </c>
      <c r="DB89" s="3">
        <f t="array" ref="DB89">SUMPRODUCT($J89:$U89,TRANSPOSE(DB$3:DB$14))</f>
        <v>0</v>
      </c>
      <c r="DC89" s="3">
        <f t="array" ref="DC89">SUMPRODUCT($J89:$U89,TRANSPOSE(DC$3:DC$14))</f>
        <v>0</v>
      </c>
      <c r="DD89" s="3">
        <f t="array" ref="DD89">SUMPRODUCT($J89:$U89,TRANSPOSE(DD$3:DD$14))</f>
        <v>0</v>
      </c>
      <c r="DE89" s="3">
        <f t="array" ref="DE89">SUMPRODUCT($J89:$U89,TRANSPOSE(DE$3:DE$14))</f>
        <v>0</v>
      </c>
    </row>
    <row r="90" spans="1:109" ht="13.5" thickBot="1" x14ac:dyDescent="0.25">
      <c r="A90" s="3">
        <v>149</v>
      </c>
      <c r="B90" s="9" t="s">
        <v>514</v>
      </c>
      <c r="C90" s="3" t="s">
        <v>13</v>
      </c>
      <c r="D90" s="3">
        <v>420122609</v>
      </c>
      <c r="F90" s="3" t="s">
        <v>515</v>
      </c>
      <c r="G90" s="3" t="s">
        <v>14</v>
      </c>
      <c r="H90" s="3">
        <v>1</v>
      </c>
      <c r="I90" s="3">
        <v>1</v>
      </c>
      <c r="J90" s="3">
        <v>0</v>
      </c>
      <c r="K90" s="3">
        <v>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f t="shared" si="40"/>
        <v>1</v>
      </c>
      <c r="W90" s="3">
        <f t="shared" si="41"/>
        <v>130</v>
      </c>
      <c r="X90" s="8" t="s">
        <v>363</v>
      </c>
      <c r="Y90" s="3">
        <v>250</v>
      </c>
      <c r="Z90" s="3" t="s">
        <v>55</v>
      </c>
      <c r="AA90" s="3" t="s">
        <v>56</v>
      </c>
      <c r="AB90" s="3">
        <v>91.973118825300006</v>
      </c>
      <c r="AC90" s="3" t="s">
        <v>57</v>
      </c>
      <c r="BJ90" s="3">
        <f>SUM($AE90,$AF90:AH90)-SUM($CH90:CK90)</f>
        <v>0</v>
      </c>
      <c r="BK90" s="3">
        <f>SUM($AE90,$AF90:AI90)-SUM($CH90:CL90)</f>
        <v>-10</v>
      </c>
      <c r="BL90" s="3">
        <f>SUM($AE90,$AF90:AJ90)-SUM($CH90:CM90)</f>
        <v>-25</v>
      </c>
      <c r="BM90" s="3">
        <f>SUM($AE90,$AF90:AK90)-SUM($CH90:CN90)</f>
        <v>-40</v>
      </c>
      <c r="BN90" s="3">
        <f>SUM($AE90,$AF90:AL90)-SUM($CH90:CO90)</f>
        <v>-60</v>
      </c>
      <c r="BO90" s="3">
        <f>SUM($AE90,$AF90:AM90)-SUM($CH90:CP90)</f>
        <v>-80</v>
      </c>
      <c r="BP90" s="3">
        <f>SUM($AE90,$AF90:AN90)-SUM($CH90:CQ90)</f>
        <v>-100</v>
      </c>
      <c r="BQ90" s="3">
        <f>SUM($AE90,$AF90:AO90)-SUM($CH90:CR90)</f>
        <v>-120</v>
      </c>
      <c r="BR90" s="3">
        <f>SUM($AE90,$AF90:AP90)-SUM($CH90:CS90)</f>
        <v>-130</v>
      </c>
      <c r="BS90" s="3">
        <f>SUM($AE90,$AF90:AQ90)-SUM($CH90:CT90)</f>
        <v>-130</v>
      </c>
      <c r="BT90" s="3">
        <f>SUM($AE90,$AF90:AR90)-SUM($CH90:CU90)</f>
        <v>-130</v>
      </c>
      <c r="BU90" s="3">
        <f>SUM($AE90,$AF90:AS90)-SUM($CH90:CV90)</f>
        <v>-130</v>
      </c>
      <c r="BV90" s="3">
        <f>SUM($AE90,$AF90:AT90)-SUM($CH90:CW90)</f>
        <v>-130</v>
      </c>
      <c r="BW90" s="3">
        <f>SUM($AE90,$AF90:AU90)-SUM($CH90:CX90)</f>
        <v>-130</v>
      </c>
      <c r="BX90" s="3">
        <f>SUM($AE90,$AF90:AV90)-SUM($CH90:CY90)</f>
        <v>-130</v>
      </c>
      <c r="BY90" s="3">
        <f>SUM($AE90,$AF90:AW90)-SUM($CH90:CZ90)</f>
        <v>-130</v>
      </c>
      <c r="BZ90" s="3">
        <f>SUM($AE90,$AF90:AX90)-SUM($CH90:DA90)</f>
        <v>-130</v>
      </c>
      <c r="CA90" s="3">
        <f>SUM($AE90,$AF90:AY90)-SUM($CH90:DB90)</f>
        <v>-130</v>
      </c>
      <c r="CB90" s="3">
        <f>SUM($AE90,$AF90:AZ90)-SUM($CH90:DC90)</f>
        <v>-130</v>
      </c>
      <c r="CC90" s="3">
        <f>SUM($AE90,$AF90:BA90)-SUM($CH90:DD90)</f>
        <v>-130</v>
      </c>
      <c r="CI90" s="3">
        <f t="array" ref="CI90">SUMPRODUCT($J90:$U90,TRANSPOSE(CI$3:CI$14))</f>
        <v>0</v>
      </c>
      <c r="CJ90" s="3">
        <f t="array" ref="CJ90">SUMPRODUCT($J90:$U90,TRANSPOSE(CJ$3:CJ$14))</f>
        <v>0</v>
      </c>
      <c r="CK90" s="3">
        <f t="array" ref="CK90">SUMPRODUCT($J90:$U90,TRANSPOSE(CK$3:CK$14))</f>
        <v>0</v>
      </c>
      <c r="CL90" s="3">
        <f t="array" ref="CL90">SUMPRODUCT($J90:$U90,TRANSPOSE(CL$3:CL$14))</f>
        <v>10</v>
      </c>
      <c r="CM90" s="3">
        <f t="array" ref="CM90">SUMPRODUCT($J90:$U90,TRANSPOSE(CM$3:CM$14))</f>
        <v>15</v>
      </c>
      <c r="CN90" s="3">
        <f t="array" ref="CN90">SUMPRODUCT($J90:$U90,TRANSPOSE(CN$3:CN$14))</f>
        <v>15</v>
      </c>
      <c r="CO90" s="3">
        <f t="array" ref="CO90">SUMPRODUCT($J90:$U90,TRANSPOSE(CO$3:CO$14))</f>
        <v>20</v>
      </c>
      <c r="CP90" s="3">
        <f t="array" ref="CP90">SUMPRODUCT($J90:$U90,TRANSPOSE(CP$3:CP$14))</f>
        <v>20</v>
      </c>
      <c r="CQ90" s="3">
        <f t="array" ref="CQ90">SUMPRODUCT($J90:$U90,TRANSPOSE(CQ$3:CQ$14))</f>
        <v>20</v>
      </c>
      <c r="CR90" s="3">
        <f t="array" ref="CR90">SUMPRODUCT($J90:$U90,TRANSPOSE(CR$3:CR$14))</f>
        <v>20</v>
      </c>
      <c r="CS90" s="3">
        <f t="array" ref="CS90">SUMPRODUCT($J90:$U90,TRANSPOSE(CS$3:CS$14))</f>
        <v>10</v>
      </c>
      <c r="CT90" s="3">
        <f t="array" ref="CT90">SUMPRODUCT($J90:$U90,TRANSPOSE(CT$3:CT$14))</f>
        <v>0</v>
      </c>
      <c r="CU90" s="3">
        <f t="array" ref="CU90">SUMPRODUCT($J90:$U90,TRANSPOSE(CU$3:CU$14))</f>
        <v>0</v>
      </c>
      <c r="CV90" s="3">
        <f t="array" ref="CV90">SUMPRODUCT($J90:$U90,TRANSPOSE(CV$3:CV$14))</f>
        <v>0</v>
      </c>
      <c r="CW90" s="3">
        <f t="array" ref="CW90">SUMPRODUCT($J90:$U90,TRANSPOSE(CW$3:CW$14))</f>
        <v>0</v>
      </c>
      <c r="CX90" s="3">
        <f t="array" ref="CX90">SUMPRODUCT($J90:$U90,TRANSPOSE(CX$3:CX$14))</f>
        <v>0</v>
      </c>
      <c r="CY90" s="3">
        <f t="array" ref="CY90">SUMPRODUCT($J90:$U90,TRANSPOSE(CY$3:CY$14))</f>
        <v>0</v>
      </c>
      <c r="CZ90" s="3">
        <f t="array" ref="CZ90">SUMPRODUCT($J90:$U90,TRANSPOSE(CZ$3:CZ$14))</f>
        <v>0</v>
      </c>
      <c r="DA90" s="3">
        <f t="array" ref="DA90">SUMPRODUCT($J90:$U90,TRANSPOSE(DA$3:DA$14))</f>
        <v>0</v>
      </c>
      <c r="DB90" s="3">
        <f t="array" ref="DB90">SUMPRODUCT($J90:$U90,TRANSPOSE(DB$3:DB$14))</f>
        <v>0</v>
      </c>
      <c r="DC90" s="3">
        <f t="array" ref="DC90">SUMPRODUCT($J90:$U90,TRANSPOSE(DC$3:DC$14))</f>
        <v>0</v>
      </c>
      <c r="DD90" s="3">
        <f t="array" ref="DD90">SUMPRODUCT($J90:$U90,TRANSPOSE(DD$3:DD$14))</f>
        <v>0</v>
      </c>
      <c r="DE90" s="3">
        <f t="array" ref="DE90">SUMPRODUCT($J90:$U90,TRANSPOSE(DE$3:DE$14))</f>
        <v>0</v>
      </c>
    </row>
    <row r="91" spans="1:109" ht="13.5" thickBot="1" x14ac:dyDescent="0.25">
      <c r="A91" s="3">
        <v>150</v>
      </c>
      <c r="B91" s="9" t="s">
        <v>516</v>
      </c>
      <c r="C91" s="3" t="s">
        <v>48</v>
      </c>
      <c r="D91" s="3">
        <v>420078264</v>
      </c>
      <c r="F91" s="3" t="s">
        <v>470</v>
      </c>
      <c r="G91" s="3" t="s">
        <v>14</v>
      </c>
      <c r="H91" s="3">
        <v>1</v>
      </c>
      <c r="I91" s="3">
        <v>2</v>
      </c>
      <c r="J91" s="3">
        <v>0</v>
      </c>
      <c r="K91" s="3">
        <v>2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f t="shared" si="40"/>
        <v>2</v>
      </c>
      <c r="W91" s="3">
        <f t="shared" si="41"/>
        <v>260</v>
      </c>
      <c r="X91" s="8" t="s">
        <v>363</v>
      </c>
      <c r="Y91" s="3">
        <v>5.9</v>
      </c>
      <c r="Z91" s="3" t="s">
        <v>364</v>
      </c>
      <c r="AA91" s="3" t="s">
        <v>365</v>
      </c>
      <c r="AB91" s="3" t="s">
        <v>366</v>
      </c>
      <c r="AC91" s="3" t="s">
        <v>367</v>
      </c>
      <c r="BJ91" s="3">
        <f>SUM($AE91,$AF91:AH91)-SUM($CH91:CK91)</f>
        <v>0</v>
      </c>
      <c r="BK91" s="3">
        <f>SUM($AE91,$AF91:AI91)-SUM($CH91:CL91)</f>
        <v>-20</v>
      </c>
      <c r="BL91" s="3">
        <f>SUM($AE91,$AF91:AJ91)-SUM($CH91:CM91)</f>
        <v>-50</v>
      </c>
      <c r="BM91" s="3">
        <f>SUM($AE91,$AF91:AK91)-SUM($CH91:CN91)</f>
        <v>-80</v>
      </c>
      <c r="BN91" s="3">
        <f>SUM($AE91,$AF91:AL91)-SUM($CH91:CO91)</f>
        <v>-120</v>
      </c>
      <c r="BO91" s="3">
        <f>SUM($AE91,$AF91:AM91)-SUM($CH91:CP91)</f>
        <v>-160</v>
      </c>
      <c r="BP91" s="3">
        <f>SUM($AE91,$AF91:AN91)-SUM($CH91:CQ91)</f>
        <v>-200</v>
      </c>
      <c r="BQ91" s="3">
        <f>SUM($AE91,$AF91:AO91)-SUM($CH91:CR91)</f>
        <v>-240</v>
      </c>
      <c r="BR91" s="3">
        <f>SUM($AE91,$AF91:AP91)-SUM($CH91:CS91)</f>
        <v>-260</v>
      </c>
      <c r="BS91" s="3">
        <f>SUM($AE91,$AF91:AQ91)-SUM($CH91:CT91)</f>
        <v>-260</v>
      </c>
      <c r="BT91" s="3">
        <f>SUM($AE91,$AF91:AR91)-SUM($CH91:CU91)</f>
        <v>-260</v>
      </c>
      <c r="BU91" s="3">
        <f>SUM($AE91,$AF91:AS91)-SUM($CH91:CV91)</f>
        <v>-260</v>
      </c>
      <c r="BV91" s="3">
        <f>SUM($AE91,$AF91:AT91)-SUM($CH91:CW91)</f>
        <v>-260</v>
      </c>
      <c r="BW91" s="3">
        <f>SUM($AE91,$AF91:AU91)-SUM($CH91:CX91)</f>
        <v>-260</v>
      </c>
      <c r="BX91" s="3">
        <f>SUM($AE91,$AF91:AV91)-SUM($CH91:CY91)</f>
        <v>-260</v>
      </c>
      <c r="BY91" s="3">
        <f>SUM($AE91,$AF91:AW91)-SUM($CH91:CZ91)</f>
        <v>-260</v>
      </c>
      <c r="BZ91" s="3">
        <f>SUM($AE91,$AF91:AX91)-SUM($CH91:DA91)</f>
        <v>-260</v>
      </c>
      <c r="CA91" s="3">
        <f>SUM($AE91,$AF91:AY91)-SUM($CH91:DB91)</f>
        <v>-260</v>
      </c>
      <c r="CB91" s="3">
        <f>SUM($AE91,$AF91:AZ91)-SUM($CH91:DC91)</f>
        <v>-260</v>
      </c>
      <c r="CC91" s="3">
        <f>SUM($AE91,$AF91:BA91)-SUM($CH91:DD91)</f>
        <v>-260</v>
      </c>
      <c r="CI91" s="3">
        <f t="array" ref="CI91">SUMPRODUCT($J91:$U91,TRANSPOSE(CI$3:CI$14))</f>
        <v>0</v>
      </c>
      <c r="CJ91" s="3">
        <f t="array" ref="CJ91">SUMPRODUCT($J91:$U91,TRANSPOSE(CJ$3:CJ$14))</f>
        <v>0</v>
      </c>
      <c r="CK91" s="3">
        <f t="array" ref="CK91">SUMPRODUCT($J91:$U91,TRANSPOSE(CK$3:CK$14))</f>
        <v>0</v>
      </c>
      <c r="CL91" s="3">
        <f t="array" ref="CL91">SUMPRODUCT($J91:$U91,TRANSPOSE(CL$3:CL$14))</f>
        <v>20</v>
      </c>
      <c r="CM91" s="3">
        <f t="array" ref="CM91">SUMPRODUCT($J91:$U91,TRANSPOSE(CM$3:CM$14))</f>
        <v>30</v>
      </c>
      <c r="CN91" s="3">
        <f t="array" ref="CN91">SUMPRODUCT($J91:$U91,TRANSPOSE(CN$3:CN$14))</f>
        <v>30</v>
      </c>
      <c r="CO91" s="3">
        <f t="array" ref="CO91">SUMPRODUCT($J91:$U91,TRANSPOSE(CO$3:CO$14))</f>
        <v>40</v>
      </c>
      <c r="CP91" s="3">
        <f t="array" ref="CP91">SUMPRODUCT($J91:$U91,TRANSPOSE(CP$3:CP$14))</f>
        <v>40</v>
      </c>
      <c r="CQ91" s="3">
        <f t="array" ref="CQ91">SUMPRODUCT($J91:$U91,TRANSPOSE(CQ$3:CQ$14))</f>
        <v>40</v>
      </c>
      <c r="CR91" s="3">
        <f t="array" ref="CR91">SUMPRODUCT($J91:$U91,TRANSPOSE(CR$3:CR$14))</f>
        <v>40</v>
      </c>
      <c r="CS91" s="3">
        <f t="array" ref="CS91">SUMPRODUCT($J91:$U91,TRANSPOSE(CS$3:CS$14))</f>
        <v>20</v>
      </c>
      <c r="CT91" s="3">
        <f t="array" ref="CT91">SUMPRODUCT($J91:$U91,TRANSPOSE(CT$3:CT$14))</f>
        <v>0</v>
      </c>
      <c r="CU91" s="3">
        <f t="array" ref="CU91">SUMPRODUCT($J91:$U91,TRANSPOSE(CU$3:CU$14))</f>
        <v>0</v>
      </c>
      <c r="CV91" s="3">
        <f t="array" ref="CV91">SUMPRODUCT($J91:$U91,TRANSPOSE(CV$3:CV$14))</f>
        <v>0</v>
      </c>
      <c r="CW91" s="3">
        <f t="array" ref="CW91">SUMPRODUCT($J91:$U91,TRANSPOSE(CW$3:CW$14))</f>
        <v>0</v>
      </c>
      <c r="CX91" s="3">
        <f t="array" ref="CX91">SUMPRODUCT($J91:$U91,TRANSPOSE(CX$3:CX$14))</f>
        <v>0</v>
      </c>
      <c r="CY91" s="3">
        <f t="array" ref="CY91">SUMPRODUCT($J91:$U91,TRANSPOSE(CY$3:CY$14))</f>
        <v>0</v>
      </c>
      <c r="CZ91" s="3">
        <f t="array" ref="CZ91">SUMPRODUCT($J91:$U91,TRANSPOSE(CZ$3:CZ$14))</f>
        <v>0</v>
      </c>
      <c r="DA91" s="3">
        <f t="array" ref="DA91">SUMPRODUCT($J91:$U91,TRANSPOSE(DA$3:DA$14))</f>
        <v>0</v>
      </c>
      <c r="DB91" s="3">
        <f t="array" ref="DB91">SUMPRODUCT($J91:$U91,TRANSPOSE(DB$3:DB$14))</f>
        <v>0</v>
      </c>
      <c r="DC91" s="3">
        <f t="array" ref="DC91">SUMPRODUCT($J91:$U91,TRANSPOSE(DC$3:DC$14))</f>
        <v>0</v>
      </c>
      <c r="DD91" s="3">
        <f t="array" ref="DD91">SUMPRODUCT($J91:$U91,TRANSPOSE(DD$3:DD$14))</f>
        <v>0</v>
      </c>
      <c r="DE91" s="3">
        <f t="array" ref="DE91">SUMPRODUCT($J91:$U91,TRANSPOSE(DE$3:DE$14))</f>
        <v>0</v>
      </c>
    </row>
    <row r="92" spans="1:109" ht="13.5" thickBot="1" x14ac:dyDescent="0.25">
      <c r="A92" s="3">
        <v>151</v>
      </c>
      <c r="B92" s="9" t="s">
        <v>349</v>
      </c>
      <c r="C92" s="3" t="s">
        <v>48</v>
      </c>
      <c r="D92" s="3">
        <v>417305029</v>
      </c>
      <c r="F92" s="3" t="s">
        <v>517</v>
      </c>
      <c r="G92" s="3" t="s">
        <v>14</v>
      </c>
      <c r="H92" s="3">
        <v>1</v>
      </c>
      <c r="I92" s="3">
        <v>4</v>
      </c>
      <c r="J92" s="3">
        <v>0</v>
      </c>
      <c r="K92" s="3">
        <v>2</v>
      </c>
      <c r="L92" s="3">
        <v>0</v>
      </c>
      <c r="M92" s="3">
        <v>0</v>
      </c>
      <c r="N92" s="3">
        <v>2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f t="shared" si="40"/>
        <v>4</v>
      </c>
      <c r="W92" s="3">
        <f t="shared" si="41"/>
        <v>520</v>
      </c>
      <c r="X92" s="8" t="s">
        <v>15</v>
      </c>
      <c r="Z92" s="3" t="s">
        <v>15</v>
      </c>
      <c r="BJ92" s="3">
        <f>SUM($AE92,$AF92:AH92)-SUM($CH92:CK92)</f>
        <v>0</v>
      </c>
      <c r="BK92" s="3">
        <f>SUM($AE92,$AF92:AI92)-SUM($CH92:CL92)</f>
        <v>-40</v>
      </c>
      <c r="BL92" s="3">
        <f>SUM($AE92,$AF92:AJ92)-SUM($CH92:CM92)</f>
        <v>-100</v>
      </c>
      <c r="BM92" s="3">
        <f>SUM($AE92,$AF92:AK92)-SUM($CH92:CN92)</f>
        <v>-160</v>
      </c>
      <c r="BN92" s="3">
        <f>SUM($AE92,$AF92:AL92)-SUM($CH92:CO92)</f>
        <v>-240</v>
      </c>
      <c r="BO92" s="3">
        <f>SUM($AE92,$AF92:AM92)-SUM($CH92:CP92)</f>
        <v>-320</v>
      </c>
      <c r="BP92" s="3">
        <f>SUM($AE92,$AF92:AN92)-SUM($CH92:CQ92)</f>
        <v>-400</v>
      </c>
      <c r="BQ92" s="3">
        <f>SUM($AE92,$AF92:AO92)-SUM($CH92:CR92)</f>
        <v>-480</v>
      </c>
      <c r="BR92" s="3">
        <f>SUM($AE92,$AF92:AP92)-SUM($CH92:CS92)</f>
        <v>-520</v>
      </c>
      <c r="BS92" s="3">
        <f>SUM($AE92,$AF92:AQ92)-SUM($CH92:CT92)</f>
        <v>-520</v>
      </c>
      <c r="BT92" s="3">
        <f>SUM($AE92,$AF92:AR92)-SUM($CH92:CU92)</f>
        <v>-520</v>
      </c>
      <c r="BU92" s="3">
        <f>SUM($AE92,$AF92:AS92)-SUM($CH92:CV92)</f>
        <v>-520</v>
      </c>
      <c r="BV92" s="3">
        <f>SUM($AE92,$AF92:AT92)-SUM($CH92:CW92)</f>
        <v>-520</v>
      </c>
      <c r="BW92" s="3">
        <f>SUM($AE92,$AF92:AU92)-SUM($CH92:CX92)</f>
        <v>-520</v>
      </c>
      <c r="BX92" s="3">
        <f>SUM($AE92,$AF92:AV92)-SUM($CH92:CY92)</f>
        <v>-520</v>
      </c>
      <c r="BY92" s="3">
        <f>SUM($AE92,$AF92:AW92)-SUM($CH92:CZ92)</f>
        <v>-520</v>
      </c>
      <c r="BZ92" s="3">
        <f>SUM($AE92,$AF92:AX92)-SUM($CH92:DA92)</f>
        <v>-520</v>
      </c>
      <c r="CA92" s="3">
        <f>SUM($AE92,$AF92:AY92)-SUM($CH92:DB92)</f>
        <v>-520</v>
      </c>
      <c r="CB92" s="3">
        <f>SUM($AE92,$AF92:AZ92)-SUM($CH92:DC92)</f>
        <v>-520</v>
      </c>
      <c r="CC92" s="3">
        <f>SUM($AE92,$AF92:BA92)-SUM($CH92:DD92)</f>
        <v>-520</v>
      </c>
      <c r="CI92" s="3">
        <f t="array" ref="CI92">SUMPRODUCT($J92:$U92,TRANSPOSE(CI$3:CI$14))</f>
        <v>0</v>
      </c>
      <c r="CJ92" s="3">
        <f t="array" ref="CJ92">SUMPRODUCT($J92:$U92,TRANSPOSE(CJ$3:CJ$14))</f>
        <v>0</v>
      </c>
      <c r="CK92" s="3">
        <f t="array" ref="CK92">SUMPRODUCT($J92:$U92,TRANSPOSE(CK$3:CK$14))</f>
        <v>0</v>
      </c>
      <c r="CL92" s="3">
        <f t="array" ref="CL92">SUMPRODUCT($J92:$U92,TRANSPOSE(CL$3:CL$14))</f>
        <v>40</v>
      </c>
      <c r="CM92" s="3">
        <f t="array" ref="CM92">SUMPRODUCT($J92:$U92,TRANSPOSE(CM$3:CM$14))</f>
        <v>60</v>
      </c>
      <c r="CN92" s="3">
        <f t="array" ref="CN92">SUMPRODUCT($J92:$U92,TRANSPOSE(CN$3:CN$14))</f>
        <v>60</v>
      </c>
      <c r="CO92" s="3">
        <f t="array" ref="CO92">SUMPRODUCT($J92:$U92,TRANSPOSE(CO$3:CO$14))</f>
        <v>80</v>
      </c>
      <c r="CP92" s="3">
        <f t="array" ref="CP92">SUMPRODUCT($J92:$U92,TRANSPOSE(CP$3:CP$14))</f>
        <v>80</v>
      </c>
      <c r="CQ92" s="3">
        <f t="array" ref="CQ92">SUMPRODUCT($J92:$U92,TRANSPOSE(CQ$3:CQ$14))</f>
        <v>80</v>
      </c>
      <c r="CR92" s="3">
        <f t="array" ref="CR92">SUMPRODUCT($J92:$U92,TRANSPOSE(CR$3:CR$14))</f>
        <v>80</v>
      </c>
      <c r="CS92" s="3">
        <f t="array" ref="CS92">SUMPRODUCT($J92:$U92,TRANSPOSE(CS$3:CS$14))</f>
        <v>40</v>
      </c>
      <c r="CT92" s="3">
        <f t="array" ref="CT92">SUMPRODUCT($J92:$U92,TRANSPOSE(CT$3:CT$14))</f>
        <v>0</v>
      </c>
      <c r="CU92" s="3">
        <f t="array" ref="CU92">SUMPRODUCT($J92:$U92,TRANSPOSE(CU$3:CU$14))</f>
        <v>0</v>
      </c>
      <c r="CV92" s="3">
        <f t="array" ref="CV92">SUMPRODUCT($J92:$U92,TRANSPOSE(CV$3:CV$14))</f>
        <v>0</v>
      </c>
      <c r="CW92" s="3">
        <f t="array" ref="CW92">SUMPRODUCT($J92:$U92,TRANSPOSE(CW$3:CW$14))</f>
        <v>0</v>
      </c>
      <c r="CX92" s="3">
        <f t="array" ref="CX92">SUMPRODUCT($J92:$U92,TRANSPOSE(CX$3:CX$14))</f>
        <v>0</v>
      </c>
      <c r="CY92" s="3">
        <f t="array" ref="CY92">SUMPRODUCT($J92:$U92,TRANSPOSE(CY$3:CY$14))</f>
        <v>0</v>
      </c>
      <c r="CZ92" s="3">
        <f t="array" ref="CZ92">SUMPRODUCT($J92:$U92,TRANSPOSE(CZ$3:CZ$14))</f>
        <v>0</v>
      </c>
      <c r="DA92" s="3">
        <f t="array" ref="DA92">SUMPRODUCT($J92:$U92,TRANSPOSE(DA$3:DA$14))</f>
        <v>0</v>
      </c>
      <c r="DB92" s="3">
        <f t="array" ref="DB92">SUMPRODUCT($J92:$U92,TRANSPOSE(DB$3:DB$14))</f>
        <v>0</v>
      </c>
      <c r="DC92" s="3">
        <f t="array" ref="DC92">SUMPRODUCT($J92:$U92,TRANSPOSE(DC$3:DC$14))</f>
        <v>0</v>
      </c>
      <c r="DD92" s="3">
        <f t="array" ref="DD92">SUMPRODUCT($J92:$U92,TRANSPOSE(DD$3:DD$14))</f>
        <v>0</v>
      </c>
      <c r="DE92" s="3">
        <f t="array" ref="DE92">SUMPRODUCT($J92:$U92,TRANSPOSE(DE$3:DE$14))</f>
        <v>0</v>
      </c>
    </row>
    <row r="93" spans="1:109" ht="13.5" thickBot="1" x14ac:dyDescent="0.25">
      <c r="A93" s="3">
        <v>152</v>
      </c>
      <c r="B93" s="9" t="s">
        <v>518</v>
      </c>
      <c r="C93" s="3" t="s">
        <v>13</v>
      </c>
      <c r="D93" s="3">
        <v>417305026</v>
      </c>
      <c r="F93" s="3" t="s">
        <v>519</v>
      </c>
      <c r="G93" s="3" t="s">
        <v>14</v>
      </c>
      <c r="H93" s="3">
        <v>1</v>
      </c>
      <c r="I93" s="3">
        <v>4</v>
      </c>
      <c r="J93" s="3">
        <v>0</v>
      </c>
      <c r="K93" s="3">
        <v>0</v>
      </c>
      <c r="L93" s="3">
        <v>2</v>
      </c>
      <c r="M93" s="3">
        <v>0</v>
      </c>
      <c r="N93" s="3">
        <v>0</v>
      </c>
      <c r="O93" s="3">
        <v>2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f t="shared" si="40"/>
        <v>4</v>
      </c>
      <c r="W93" s="3">
        <f t="shared" si="41"/>
        <v>520</v>
      </c>
      <c r="X93" s="8" t="s">
        <v>363</v>
      </c>
      <c r="Y93" s="3">
        <v>1.6</v>
      </c>
      <c r="Z93" s="3" t="s">
        <v>39</v>
      </c>
      <c r="AA93" s="3" t="s">
        <v>40</v>
      </c>
      <c r="AB93" s="3" t="s">
        <v>41</v>
      </c>
      <c r="AC93" s="3" t="s">
        <v>42</v>
      </c>
      <c r="BJ93" s="3">
        <f>SUM($AE93,$AF93:AH93)-SUM($CH93:CK93)</f>
        <v>-40</v>
      </c>
      <c r="BK93" s="3">
        <f>SUM($AE93,$AF93:AI93)-SUM($CH93:CL93)</f>
        <v>-100</v>
      </c>
      <c r="BL93" s="3">
        <f>SUM($AE93,$AF93:AJ93)-SUM($CH93:CM93)</f>
        <v>-160</v>
      </c>
      <c r="BM93" s="3">
        <f>SUM($AE93,$AF93:AK93)-SUM($CH93:CN93)</f>
        <v>-240</v>
      </c>
      <c r="BN93" s="3">
        <f>SUM($AE93,$AF93:AL93)-SUM($CH93:CO93)</f>
        <v>-320</v>
      </c>
      <c r="BO93" s="3">
        <f>SUM($AE93,$AF93:AM93)-SUM($CH93:CP93)</f>
        <v>-400</v>
      </c>
      <c r="BP93" s="3">
        <f>SUM($AE93,$AF93:AN93)-SUM($CH93:CQ93)</f>
        <v>-480</v>
      </c>
      <c r="BQ93" s="3">
        <f>SUM($AE93,$AF93:AO93)-SUM($CH93:CR93)</f>
        <v>-520</v>
      </c>
      <c r="BR93" s="3">
        <f>SUM($AE93,$AF93:AP93)-SUM($CH93:CS93)</f>
        <v>-520</v>
      </c>
      <c r="BS93" s="3">
        <f>SUM($AE93,$AF93:AQ93)-SUM($CH93:CT93)</f>
        <v>-520</v>
      </c>
      <c r="BT93" s="3">
        <f>SUM($AE93,$AF93:AR93)-SUM($CH93:CU93)</f>
        <v>-520</v>
      </c>
      <c r="BU93" s="3">
        <f>SUM($AE93,$AF93:AS93)-SUM($CH93:CV93)</f>
        <v>-520</v>
      </c>
      <c r="BV93" s="3">
        <f>SUM($AE93,$AF93:AT93)-SUM($CH93:CW93)</f>
        <v>-520</v>
      </c>
      <c r="BW93" s="3">
        <f>SUM($AE93,$AF93:AU93)-SUM($CH93:CX93)</f>
        <v>-520</v>
      </c>
      <c r="BX93" s="3">
        <f>SUM($AE93,$AF93:AV93)-SUM($CH93:CY93)</f>
        <v>-520</v>
      </c>
      <c r="BY93" s="3">
        <f>SUM($AE93,$AF93:AW93)-SUM($CH93:CZ93)</f>
        <v>-520</v>
      </c>
      <c r="BZ93" s="3">
        <f>SUM($AE93,$AF93:AX93)-SUM($CH93:DA93)</f>
        <v>-520</v>
      </c>
      <c r="CA93" s="3">
        <f>SUM($AE93,$AF93:AY93)-SUM($CH93:DB93)</f>
        <v>-520</v>
      </c>
      <c r="CB93" s="3">
        <f>SUM($AE93,$AF93:AZ93)-SUM($CH93:DC93)</f>
        <v>-520</v>
      </c>
      <c r="CC93" s="3">
        <f>SUM($AE93,$AF93:BA93)-SUM($CH93:DD93)</f>
        <v>-520</v>
      </c>
      <c r="CI93" s="3">
        <f t="array" ref="CI93">SUMPRODUCT($J93:$U93,TRANSPOSE(CI$3:CI$14))</f>
        <v>0</v>
      </c>
      <c r="CJ93" s="3">
        <f t="array" ref="CJ93">SUMPRODUCT($J93:$U93,TRANSPOSE(CJ$3:CJ$14))</f>
        <v>0</v>
      </c>
      <c r="CK93" s="3">
        <f t="array" ref="CK93">SUMPRODUCT($J93:$U93,TRANSPOSE(CK$3:CK$14))</f>
        <v>40</v>
      </c>
      <c r="CL93" s="3">
        <f t="array" ref="CL93">SUMPRODUCT($J93:$U93,TRANSPOSE(CL$3:CL$14))</f>
        <v>60</v>
      </c>
      <c r="CM93" s="3">
        <f t="array" ref="CM93">SUMPRODUCT($J93:$U93,TRANSPOSE(CM$3:CM$14))</f>
        <v>60</v>
      </c>
      <c r="CN93" s="3">
        <f t="array" ref="CN93">SUMPRODUCT($J93:$U93,TRANSPOSE(CN$3:CN$14))</f>
        <v>80</v>
      </c>
      <c r="CO93" s="3">
        <f t="array" ref="CO93">SUMPRODUCT($J93:$U93,TRANSPOSE(CO$3:CO$14))</f>
        <v>80</v>
      </c>
      <c r="CP93" s="3">
        <f t="array" ref="CP93">SUMPRODUCT($J93:$U93,TRANSPOSE(CP$3:CP$14))</f>
        <v>80</v>
      </c>
      <c r="CQ93" s="3">
        <f t="array" ref="CQ93">SUMPRODUCT($J93:$U93,TRANSPOSE(CQ$3:CQ$14))</f>
        <v>80</v>
      </c>
      <c r="CR93" s="3">
        <f t="array" ref="CR93">SUMPRODUCT($J93:$U93,TRANSPOSE(CR$3:CR$14))</f>
        <v>40</v>
      </c>
      <c r="CS93" s="3">
        <f t="array" ref="CS93">SUMPRODUCT($J93:$U93,TRANSPOSE(CS$3:CS$14))</f>
        <v>0</v>
      </c>
      <c r="CT93" s="3">
        <f t="array" ref="CT93">SUMPRODUCT($J93:$U93,TRANSPOSE(CT$3:CT$14))</f>
        <v>0</v>
      </c>
      <c r="CU93" s="3">
        <f t="array" ref="CU93">SUMPRODUCT($J93:$U93,TRANSPOSE(CU$3:CU$14))</f>
        <v>0</v>
      </c>
      <c r="CV93" s="3">
        <f t="array" ref="CV93">SUMPRODUCT($J93:$U93,TRANSPOSE(CV$3:CV$14))</f>
        <v>0</v>
      </c>
      <c r="CW93" s="3">
        <f t="array" ref="CW93">SUMPRODUCT($J93:$U93,TRANSPOSE(CW$3:CW$14))</f>
        <v>0</v>
      </c>
      <c r="CX93" s="3">
        <f t="array" ref="CX93">SUMPRODUCT($J93:$U93,TRANSPOSE(CX$3:CX$14))</f>
        <v>0</v>
      </c>
      <c r="CY93" s="3">
        <f t="array" ref="CY93">SUMPRODUCT($J93:$U93,TRANSPOSE(CY$3:CY$14))</f>
        <v>0</v>
      </c>
      <c r="CZ93" s="3">
        <f t="array" ref="CZ93">SUMPRODUCT($J93:$U93,TRANSPOSE(CZ$3:CZ$14))</f>
        <v>0</v>
      </c>
      <c r="DA93" s="3">
        <f t="array" ref="DA93">SUMPRODUCT($J93:$U93,TRANSPOSE(DA$3:DA$14))</f>
        <v>0</v>
      </c>
      <c r="DB93" s="3">
        <f t="array" ref="DB93">SUMPRODUCT($J93:$U93,TRANSPOSE(DB$3:DB$14))</f>
        <v>0</v>
      </c>
      <c r="DC93" s="3">
        <f t="array" ref="DC93">SUMPRODUCT($J93:$U93,TRANSPOSE(DC$3:DC$14))</f>
        <v>0</v>
      </c>
      <c r="DD93" s="3">
        <f t="array" ref="DD93">SUMPRODUCT($J93:$U93,TRANSPOSE(DD$3:DD$14))</f>
        <v>0</v>
      </c>
      <c r="DE93" s="3">
        <f t="array" ref="DE93">SUMPRODUCT($J93:$U93,TRANSPOSE(DE$3:DE$14))</f>
        <v>0</v>
      </c>
    </row>
    <row r="94" spans="1:109" ht="13.5" thickBot="1" x14ac:dyDescent="0.25">
      <c r="A94" s="3">
        <v>153</v>
      </c>
      <c r="B94" s="9" t="s">
        <v>520</v>
      </c>
      <c r="C94" s="3" t="s">
        <v>13</v>
      </c>
      <c r="D94" s="3">
        <v>417305028</v>
      </c>
      <c r="F94" s="3" t="s">
        <v>521</v>
      </c>
      <c r="G94" s="3" t="s">
        <v>14</v>
      </c>
      <c r="H94" s="3">
        <v>1</v>
      </c>
      <c r="I94" s="3">
        <v>4</v>
      </c>
      <c r="J94" s="3">
        <v>0</v>
      </c>
      <c r="K94" s="3">
        <v>0</v>
      </c>
      <c r="L94" s="3">
        <v>2</v>
      </c>
      <c r="M94" s="3">
        <v>0</v>
      </c>
      <c r="N94" s="3">
        <v>0</v>
      </c>
      <c r="O94" s="3">
        <v>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f t="shared" si="40"/>
        <v>4</v>
      </c>
      <c r="W94" s="3">
        <f t="shared" si="41"/>
        <v>520</v>
      </c>
      <c r="X94" s="8" t="s">
        <v>363</v>
      </c>
      <c r="Y94" s="3">
        <v>145</v>
      </c>
      <c r="Z94" s="3" t="s">
        <v>55</v>
      </c>
      <c r="AA94" s="3" t="s">
        <v>56</v>
      </c>
      <c r="AB94" s="3">
        <v>91.973118825300006</v>
      </c>
      <c r="AC94" s="3" t="s">
        <v>57</v>
      </c>
      <c r="BJ94" s="3">
        <f>SUM($AE94,$AF94:AH94)-SUM($CH94:CK94)</f>
        <v>-40</v>
      </c>
      <c r="BK94" s="3">
        <f>SUM($AE94,$AF94:AI94)-SUM($CH94:CL94)</f>
        <v>-100</v>
      </c>
      <c r="BL94" s="3">
        <f>SUM($AE94,$AF94:AJ94)-SUM($CH94:CM94)</f>
        <v>-160</v>
      </c>
      <c r="BM94" s="3">
        <f>SUM($AE94,$AF94:AK94)-SUM($CH94:CN94)</f>
        <v>-240</v>
      </c>
      <c r="BN94" s="3">
        <f>SUM($AE94,$AF94:AL94)-SUM($CH94:CO94)</f>
        <v>-320</v>
      </c>
      <c r="BO94" s="3">
        <f>SUM($AE94,$AF94:AM94)-SUM($CH94:CP94)</f>
        <v>-400</v>
      </c>
      <c r="BP94" s="3">
        <f>SUM($AE94,$AF94:AN94)-SUM($CH94:CQ94)</f>
        <v>-480</v>
      </c>
      <c r="BQ94" s="3">
        <f>SUM($AE94,$AF94:AO94)-SUM($CH94:CR94)</f>
        <v>-520</v>
      </c>
      <c r="BR94" s="3">
        <f>SUM($AE94,$AF94:AP94)-SUM($CH94:CS94)</f>
        <v>-520</v>
      </c>
      <c r="BS94" s="3">
        <f>SUM($AE94,$AF94:AQ94)-SUM($CH94:CT94)</f>
        <v>-520</v>
      </c>
      <c r="BT94" s="3">
        <f>SUM($AE94,$AF94:AR94)-SUM($CH94:CU94)</f>
        <v>-520</v>
      </c>
      <c r="BU94" s="3">
        <f>SUM($AE94,$AF94:AS94)-SUM($CH94:CV94)</f>
        <v>-520</v>
      </c>
      <c r="BV94" s="3">
        <f>SUM($AE94,$AF94:AT94)-SUM($CH94:CW94)</f>
        <v>-520</v>
      </c>
      <c r="BW94" s="3">
        <f>SUM($AE94,$AF94:AU94)-SUM($CH94:CX94)</f>
        <v>-520</v>
      </c>
      <c r="BX94" s="3">
        <f>SUM($AE94,$AF94:AV94)-SUM($CH94:CY94)</f>
        <v>-520</v>
      </c>
      <c r="BY94" s="3">
        <f>SUM($AE94,$AF94:AW94)-SUM($CH94:CZ94)</f>
        <v>-520</v>
      </c>
      <c r="BZ94" s="3">
        <f>SUM($AE94,$AF94:AX94)-SUM($CH94:DA94)</f>
        <v>-520</v>
      </c>
      <c r="CA94" s="3">
        <f>SUM($AE94,$AF94:AY94)-SUM($CH94:DB94)</f>
        <v>-520</v>
      </c>
      <c r="CB94" s="3">
        <f>SUM($AE94,$AF94:AZ94)-SUM($CH94:DC94)</f>
        <v>-520</v>
      </c>
      <c r="CC94" s="3">
        <f>SUM($AE94,$AF94:BA94)-SUM($CH94:DD94)</f>
        <v>-520</v>
      </c>
      <c r="CI94" s="3">
        <f t="array" ref="CI94">SUMPRODUCT($J94:$U94,TRANSPOSE(CI$3:CI$14))</f>
        <v>0</v>
      </c>
      <c r="CJ94" s="3">
        <f t="array" ref="CJ94">SUMPRODUCT($J94:$U94,TRANSPOSE(CJ$3:CJ$14))</f>
        <v>0</v>
      </c>
      <c r="CK94" s="3">
        <f t="array" ref="CK94">SUMPRODUCT($J94:$U94,TRANSPOSE(CK$3:CK$14))</f>
        <v>40</v>
      </c>
      <c r="CL94" s="3">
        <f t="array" ref="CL94">SUMPRODUCT($J94:$U94,TRANSPOSE(CL$3:CL$14))</f>
        <v>60</v>
      </c>
      <c r="CM94" s="3">
        <f t="array" ref="CM94">SUMPRODUCT($J94:$U94,TRANSPOSE(CM$3:CM$14))</f>
        <v>60</v>
      </c>
      <c r="CN94" s="3">
        <f t="array" ref="CN94">SUMPRODUCT($J94:$U94,TRANSPOSE(CN$3:CN$14))</f>
        <v>80</v>
      </c>
      <c r="CO94" s="3">
        <f t="array" ref="CO94">SUMPRODUCT($J94:$U94,TRANSPOSE(CO$3:CO$14))</f>
        <v>80</v>
      </c>
      <c r="CP94" s="3">
        <f t="array" ref="CP94">SUMPRODUCT($J94:$U94,TRANSPOSE(CP$3:CP$14))</f>
        <v>80</v>
      </c>
      <c r="CQ94" s="3">
        <f t="array" ref="CQ94">SUMPRODUCT($J94:$U94,TRANSPOSE(CQ$3:CQ$14))</f>
        <v>80</v>
      </c>
      <c r="CR94" s="3">
        <f t="array" ref="CR94">SUMPRODUCT($J94:$U94,TRANSPOSE(CR$3:CR$14))</f>
        <v>40</v>
      </c>
      <c r="CS94" s="3">
        <f t="array" ref="CS94">SUMPRODUCT($J94:$U94,TRANSPOSE(CS$3:CS$14))</f>
        <v>0</v>
      </c>
      <c r="CT94" s="3">
        <f t="array" ref="CT94">SUMPRODUCT($J94:$U94,TRANSPOSE(CT$3:CT$14))</f>
        <v>0</v>
      </c>
      <c r="CU94" s="3">
        <f t="array" ref="CU94">SUMPRODUCT($J94:$U94,TRANSPOSE(CU$3:CU$14))</f>
        <v>0</v>
      </c>
      <c r="CV94" s="3">
        <f t="array" ref="CV94">SUMPRODUCT($J94:$U94,TRANSPOSE(CV$3:CV$14))</f>
        <v>0</v>
      </c>
      <c r="CW94" s="3">
        <f t="array" ref="CW94">SUMPRODUCT($J94:$U94,TRANSPOSE(CW$3:CW$14))</f>
        <v>0</v>
      </c>
      <c r="CX94" s="3">
        <f t="array" ref="CX94">SUMPRODUCT($J94:$U94,TRANSPOSE(CX$3:CX$14))</f>
        <v>0</v>
      </c>
      <c r="CY94" s="3">
        <f t="array" ref="CY94">SUMPRODUCT($J94:$U94,TRANSPOSE(CY$3:CY$14))</f>
        <v>0</v>
      </c>
      <c r="CZ94" s="3">
        <f t="array" ref="CZ94">SUMPRODUCT($J94:$U94,TRANSPOSE(CZ$3:CZ$14))</f>
        <v>0</v>
      </c>
      <c r="DA94" s="3">
        <f t="array" ref="DA94">SUMPRODUCT($J94:$U94,TRANSPOSE(DA$3:DA$14))</f>
        <v>0</v>
      </c>
      <c r="DB94" s="3">
        <f t="array" ref="DB94">SUMPRODUCT($J94:$U94,TRANSPOSE(DB$3:DB$14))</f>
        <v>0</v>
      </c>
      <c r="DC94" s="3">
        <f t="array" ref="DC94">SUMPRODUCT($J94:$U94,TRANSPOSE(DC$3:DC$14))</f>
        <v>0</v>
      </c>
      <c r="DD94" s="3">
        <f t="array" ref="DD94">SUMPRODUCT($J94:$U94,TRANSPOSE(DD$3:DD$14))</f>
        <v>0</v>
      </c>
      <c r="DE94" s="3">
        <f t="array" ref="DE94">SUMPRODUCT($J94:$U94,TRANSPOSE(DE$3:DE$14))</f>
        <v>0</v>
      </c>
    </row>
    <row r="95" spans="1:109" ht="13.5" thickBot="1" x14ac:dyDescent="0.25">
      <c r="A95" s="3">
        <v>154</v>
      </c>
      <c r="B95" s="9" t="s">
        <v>522</v>
      </c>
      <c r="C95" s="3" t="s">
        <v>13</v>
      </c>
      <c r="D95" s="16">
        <v>417305027</v>
      </c>
      <c r="F95" s="3" t="s">
        <v>523</v>
      </c>
      <c r="G95" s="3" t="s">
        <v>14</v>
      </c>
      <c r="H95" s="3">
        <v>1</v>
      </c>
      <c r="I95" s="3">
        <v>64</v>
      </c>
      <c r="J95" s="3">
        <v>0</v>
      </c>
      <c r="K95" s="3">
        <v>0</v>
      </c>
      <c r="L95" s="3">
        <v>32</v>
      </c>
      <c r="M95" s="3">
        <v>0</v>
      </c>
      <c r="N95" s="3">
        <v>0</v>
      </c>
      <c r="O95" s="3">
        <v>32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f t="shared" si="40"/>
        <v>64</v>
      </c>
      <c r="W95" s="3">
        <f t="shared" si="41"/>
        <v>8320</v>
      </c>
      <c r="X95" s="8" t="s">
        <v>363</v>
      </c>
      <c r="Y95" s="17"/>
      <c r="BJ95" s="3">
        <f>SUM($AE95,$AF95:AH95)-SUM($CH95:CK95)</f>
        <v>-640</v>
      </c>
      <c r="BK95" s="3">
        <f>SUM($AE95,$AF95:AI95)-SUM($CH95:CL95)</f>
        <v>-1600</v>
      </c>
      <c r="BL95" s="3">
        <f>SUM($AE95,$AF95:AJ95)-SUM($CH95:CM95)</f>
        <v>-2560</v>
      </c>
      <c r="BM95" s="3">
        <f>SUM($AE95,$AF95:AK95)-SUM($CH95:CN95)</f>
        <v>-3840</v>
      </c>
      <c r="BN95" s="3">
        <f>SUM($AE95,$AF95:AL95)-SUM($CH95:CO95)</f>
        <v>-5120</v>
      </c>
      <c r="BO95" s="3">
        <f>SUM($AE95,$AF95:AM95)-SUM($CH95:CP95)</f>
        <v>-6400</v>
      </c>
      <c r="BP95" s="3">
        <f>SUM($AE95,$AF95:AN95)-SUM($CH95:CQ95)</f>
        <v>-7680</v>
      </c>
      <c r="BQ95" s="3">
        <f>SUM($AE95,$AF95:AO95)-SUM($CH95:CR95)</f>
        <v>-8320</v>
      </c>
      <c r="BR95" s="3">
        <f>SUM($AE95,$AF95:AP95)-SUM($CH95:CS95)</f>
        <v>-8320</v>
      </c>
      <c r="BS95" s="3">
        <f>SUM($AE95,$AF95:AQ95)-SUM($CH95:CT95)</f>
        <v>-8320</v>
      </c>
      <c r="BT95" s="3">
        <f>SUM($AE95,$AF95:AR95)-SUM($CH95:CU95)</f>
        <v>-8320</v>
      </c>
      <c r="BU95" s="3">
        <f>SUM($AE95,$AF95:AS95)-SUM($CH95:CV95)</f>
        <v>-8320</v>
      </c>
      <c r="BV95" s="3">
        <f>SUM($AE95,$AF95:AT95)-SUM($CH95:CW95)</f>
        <v>-8320</v>
      </c>
      <c r="BW95" s="3">
        <f>SUM($AE95,$AF95:AU95)-SUM($CH95:CX95)</f>
        <v>-8320</v>
      </c>
      <c r="BX95" s="3">
        <f>SUM($AE95,$AF95:AV95)-SUM($CH95:CY95)</f>
        <v>-8320</v>
      </c>
      <c r="BY95" s="3">
        <f>SUM($AE95,$AF95:AW95)-SUM($CH95:CZ95)</f>
        <v>-8320</v>
      </c>
      <c r="BZ95" s="3">
        <f>SUM($AE95,$AF95:AX95)-SUM($CH95:DA95)</f>
        <v>-8320</v>
      </c>
      <c r="CA95" s="3">
        <f>SUM($AE95,$AF95:AY95)-SUM($CH95:DB95)</f>
        <v>-8320</v>
      </c>
      <c r="CB95" s="3">
        <f>SUM($AE95,$AF95:AZ95)-SUM($CH95:DC95)</f>
        <v>-8320</v>
      </c>
      <c r="CC95" s="3">
        <f>SUM($AE95,$AF95:BA95)-SUM($CH95:DD95)</f>
        <v>-8320</v>
      </c>
      <c r="CI95" s="3">
        <f t="array" ref="CI95">SUMPRODUCT($J95:$U95,TRANSPOSE(CI$3:CI$14))</f>
        <v>0</v>
      </c>
      <c r="CJ95" s="3">
        <f t="array" ref="CJ95">SUMPRODUCT($J95:$U95,TRANSPOSE(CJ$3:CJ$14))</f>
        <v>0</v>
      </c>
      <c r="CK95" s="3">
        <f t="array" ref="CK95">SUMPRODUCT($J95:$U95,TRANSPOSE(CK$3:CK$14))</f>
        <v>640</v>
      </c>
      <c r="CL95" s="3">
        <f t="array" ref="CL95">SUMPRODUCT($J95:$U95,TRANSPOSE(CL$3:CL$14))</f>
        <v>960</v>
      </c>
      <c r="CM95" s="3">
        <f t="array" ref="CM95">SUMPRODUCT($J95:$U95,TRANSPOSE(CM$3:CM$14))</f>
        <v>960</v>
      </c>
      <c r="CN95" s="3">
        <f t="array" ref="CN95">SUMPRODUCT($J95:$U95,TRANSPOSE(CN$3:CN$14))</f>
        <v>1280</v>
      </c>
      <c r="CO95" s="3">
        <f t="array" ref="CO95">SUMPRODUCT($J95:$U95,TRANSPOSE(CO$3:CO$14))</f>
        <v>1280</v>
      </c>
      <c r="CP95" s="3">
        <f t="array" ref="CP95">SUMPRODUCT($J95:$U95,TRANSPOSE(CP$3:CP$14))</f>
        <v>1280</v>
      </c>
      <c r="CQ95" s="3">
        <f t="array" ref="CQ95">SUMPRODUCT($J95:$U95,TRANSPOSE(CQ$3:CQ$14))</f>
        <v>1280</v>
      </c>
      <c r="CR95" s="3">
        <f t="array" ref="CR95">SUMPRODUCT($J95:$U95,TRANSPOSE(CR$3:CR$14))</f>
        <v>640</v>
      </c>
      <c r="CS95" s="3">
        <f t="array" ref="CS95">SUMPRODUCT($J95:$U95,TRANSPOSE(CS$3:CS$14))</f>
        <v>0</v>
      </c>
      <c r="CT95" s="3">
        <f t="array" ref="CT95">SUMPRODUCT($J95:$U95,TRANSPOSE(CT$3:CT$14))</f>
        <v>0</v>
      </c>
      <c r="CU95" s="3">
        <f t="array" ref="CU95">SUMPRODUCT($J95:$U95,TRANSPOSE(CU$3:CU$14))</f>
        <v>0</v>
      </c>
      <c r="CV95" s="3">
        <f t="array" ref="CV95">SUMPRODUCT($J95:$U95,TRANSPOSE(CV$3:CV$14))</f>
        <v>0</v>
      </c>
      <c r="CW95" s="3">
        <f t="array" ref="CW95">SUMPRODUCT($J95:$U95,TRANSPOSE(CW$3:CW$14))</f>
        <v>0</v>
      </c>
      <c r="CX95" s="3">
        <f t="array" ref="CX95">SUMPRODUCT($J95:$U95,TRANSPOSE(CX$3:CX$14))</f>
        <v>0</v>
      </c>
      <c r="CY95" s="3">
        <f t="array" ref="CY95">SUMPRODUCT($J95:$U95,TRANSPOSE(CY$3:CY$14))</f>
        <v>0</v>
      </c>
      <c r="CZ95" s="3">
        <f t="array" ref="CZ95">SUMPRODUCT($J95:$U95,TRANSPOSE(CZ$3:CZ$14))</f>
        <v>0</v>
      </c>
      <c r="DA95" s="3">
        <f t="array" ref="DA95">SUMPRODUCT($J95:$U95,TRANSPOSE(DA$3:DA$14))</f>
        <v>0</v>
      </c>
      <c r="DB95" s="3">
        <f t="array" ref="DB95">SUMPRODUCT($J95:$U95,TRANSPOSE(DB$3:DB$14))</f>
        <v>0</v>
      </c>
      <c r="DC95" s="3">
        <f t="array" ref="DC95">SUMPRODUCT($J95:$U95,TRANSPOSE(DC$3:DC$14))</f>
        <v>0</v>
      </c>
      <c r="DD95" s="3">
        <f t="array" ref="DD95">SUMPRODUCT($J95:$U95,TRANSPOSE(DD$3:DD$14))</f>
        <v>0</v>
      </c>
      <c r="DE95" s="3">
        <f t="array" ref="DE95">SUMPRODUCT($J95:$U95,TRANSPOSE(DE$3:DE$14))</f>
        <v>0</v>
      </c>
    </row>
    <row r="96" spans="1:109" ht="13.5" thickBot="1" x14ac:dyDescent="0.25">
      <c r="A96" s="3">
        <v>155</v>
      </c>
      <c r="B96" s="9" t="s">
        <v>524</v>
      </c>
      <c r="C96" s="3">
        <v>-1</v>
      </c>
      <c r="D96" s="16">
        <v>410404205</v>
      </c>
      <c r="F96" s="3" t="s">
        <v>525</v>
      </c>
      <c r="G96" s="3" t="s">
        <v>14</v>
      </c>
      <c r="H96" s="3">
        <v>1</v>
      </c>
      <c r="I96" s="3">
        <v>1</v>
      </c>
      <c r="J96" s="3">
        <v>0</v>
      </c>
      <c r="K96" s="3">
        <v>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f t="shared" si="40"/>
        <v>1</v>
      </c>
      <c r="W96" s="3">
        <f t="shared" si="41"/>
        <v>130</v>
      </c>
      <c r="X96" s="8" t="s">
        <v>363</v>
      </c>
      <c r="Y96" s="19">
        <v>2810</v>
      </c>
      <c r="Z96" s="3" t="s">
        <v>55</v>
      </c>
      <c r="AA96" s="3" t="s">
        <v>56</v>
      </c>
      <c r="AB96" s="3">
        <v>91.973118825300006</v>
      </c>
      <c r="AC96" s="3" t="s">
        <v>57</v>
      </c>
      <c r="BJ96" s="3">
        <f>SUM($AE96,$AF96:AH96)-SUM($CH96:CK96)</f>
        <v>0</v>
      </c>
      <c r="BK96" s="3">
        <f>SUM($AE96,$AF96:AI96)-SUM($CH96:CL96)</f>
        <v>-10</v>
      </c>
      <c r="BL96" s="3">
        <f>SUM($AE96,$AF96:AJ96)-SUM($CH96:CM96)</f>
        <v>-25</v>
      </c>
      <c r="BM96" s="3">
        <f>SUM($AE96,$AF96:AK96)-SUM($CH96:CN96)</f>
        <v>-40</v>
      </c>
      <c r="BN96" s="3">
        <f>SUM($AE96,$AF96:AL96)-SUM($CH96:CO96)</f>
        <v>-60</v>
      </c>
      <c r="BO96" s="3">
        <f>SUM($AE96,$AF96:AM96)-SUM($CH96:CP96)</f>
        <v>-80</v>
      </c>
      <c r="BP96" s="3">
        <f>SUM($AE96,$AF96:AN96)-SUM($CH96:CQ96)</f>
        <v>-100</v>
      </c>
      <c r="BQ96" s="3">
        <f>SUM($AE96,$AF96:AO96)-SUM($CH96:CR96)</f>
        <v>-120</v>
      </c>
      <c r="BR96" s="3">
        <f>SUM($AE96,$AF96:AP96)-SUM($CH96:CS96)</f>
        <v>-130</v>
      </c>
      <c r="BS96" s="3">
        <f>SUM($AE96,$AF96:AQ96)-SUM($CH96:CT96)</f>
        <v>-130</v>
      </c>
      <c r="BT96" s="3">
        <f>SUM($AE96,$AF96:AR96)-SUM($CH96:CU96)</f>
        <v>-130</v>
      </c>
      <c r="BU96" s="3">
        <f>SUM($AE96,$AF96:AS96)-SUM($CH96:CV96)</f>
        <v>-130</v>
      </c>
      <c r="BV96" s="3">
        <f>SUM($AE96,$AF96:AT96)-SUM($CH96:CW96)</f>
        <v>-130</v>
      </c>
      <c r="BW96" s="3">
        <f>SUM($AE96,$AF96:AU96)-SUM($CH96:CX96)</f>
        <v>-130</v>
      </c>
      <c r="BX96" s="3">
        <f>SUM($AE96,$AF96:AV96)-SUM($CH96:CY96)</f>
        <v>-130</v>
      </c>
      <c r="BY96" s="3">
        <f>SUM($AE96,$AF96:AW96)-SUM($CH96:CZ96)</f>
        <v>-130</v>
      </c>
      <c r="BZ96" s="3">
        <f>SUM($AE96,$AF96:AX96)-SUM($CH96:DA96)</f>
        <v>-130</v>
      </c>
      <c r="CA96" s="3">
        <f>SUM($AE96,$AF96:AY96)-SUM($CH96:DB96)</f>
        <v>-130</v>
      </c>
      <c r="CB96" s="3">
        <f>SUM($AE96,$AF96:AZ96)-SUM($CH96:DC96)</f>
        <v>-130</v>
      </c>
      <c r="CC96" s="3">
        <f>SUM($AE96,$AF96:BA96)-SUM($CH96:DD96)</f>
        <v>-130</v>
      </c>
      <c r="CI96" s="3">
        <f t="array" ref="CI96">SUMPRODUCT($J96:$U96,TRANSPOSE(CI$3:CI$14))</f>
        <v>0</v>
      </c>
      <c r="CJ96" s="3">
        <f t="array" ref="CJ96">SUMPRODUCT($J96:$U96,TRANSPOSE(CJ$3:CJ$14))</f>
        <v>0</v>
      </c>
      <c r="CK96" s="3">
        <f t="array" ref="CK96">SUMPRODUCT($J96:$U96,TRANSPOSE(CK$3:CK$14))</f>
        <v>0</v>
      </c>
      <c r="CL96" s="3">
        <f t="array" ref="CL96">SUMPRODUCT($J96:$U96,TRANSPOSE(CL$3:CL$14))</f>
        <v>10</v>
      </c>
      <c r="CM96" s="3">
        <f t="array" ref="CM96">SUMPRODUCT($J96:$U96,TRANSPOSE(CM$3:CM$14))</f>
        <v>15</v>
      </c>
      <c r="CN96" s="3">
        <f t="array" ref="CN96">SUMPRODUCT($J96:$U96,TRANSPOSE(CN$3:CN$14))</f>
        <v>15</v>
      </c>
      <c r="CO96" s="3">
        <f t="array" ref="CO96">SUMPRODUCT($J96:$U96,TRANSPOSE(CO$3:CO$14))</f>
        <v>20</v>
      </c>
      <c r="CP96" s="3">
        <f t="array" ref="CP96">SUMPRODUCT($J96:$U96,TRANSPOSE(CP$3:CP$14))</f>
        <v>20</v>
      </c>
      <c r="CQ96" s="3">
        <f t="array" ref="CQ96">SUMPRODUCT($J96:$U96,TRANSPOSE(CQ$3:CQ$14))</f>
        <v>20</v>
      </c>
      <c r="CR96" s="3">
        <f t="array" ref="CR96">SUMPRODUCT($J96:$U96,TRANSPOSE(CR$3:CR$14))</f>
        <v>20</v>
      </c>
      <c r="CS96" s="3">
        <f t="array" ref="CS96">SUMPRODUCT($J96:$U96,TRANSPOSE(CS$3:CS$14))</f>
        <v>10</v>
      </c>
      <c r="CT96" s="3">
        <f t="array" ref="CT96">SUMPRODUCT($J96:$U96,TRANSPOSE(CT$3:CT$14))</f>
        <v>0</v>
      </c>
      <c r="CU96" s="3">
        <f t="array" ref="CU96">SUMPRODUCT($J96:$U96,TRANSPOSE(CU$3:CU$14))</f>
        <v>0</v>
      </c>
      <c r="CV96" s="3">
        <f t="array" ref="CV96">SUMPRODUCT($J96:$U96,TRANSPOSE(CV$3:CV$14))</f>
        <v>0</v>
      </c>
      <c r="CW96" s="3">
        <f t="array" ref="CW96">SUMPRODUCT($J96:$U96,TRANSPOSE(CW$3:CW$14))</f>
        <v>0</v>
      </c>
      <c r="CX96" s="3">
        <f t="array" ref="CX96">SUMPRODUCT($J96:$U96,TRANSPOSE(CX$3:CX$14))</f>
        <v>0</v>
      </c>
      <c r="CY96" s="3">
        <f t="array" ref="CY96">SUMPRODUCT($J96:$U96,TRANSPOSE(CY$3:CY$14))</f>
        <v>0</v>
      </c>
      <c r="CZ96" s="3">
        <f t="array" ref="CZ96">SUMPRODUCT($J96:$U96,TRANSPOSE(CZ$3:CZ$14))</f>
        <v>0</v>
      </c>
      <c r="DA96" s="3">
        <f t="array" ref="DA96">SUMPRODUCT($J96:$U96,TRANSPOSE(DA$3:DA$14))</f>
        <v>0</v>
      </c>
      <c r="DB96" s="3">
        <f t="array" ref="DB96">SUMPRODUCT($J96:$U96,TRANSPOSE(DB$3:DB$14))</f>
        <v>0</v>
      </c>
      <c r="DC96" s="3">
        <f t="array" ref="DC96">SUMPRODUCT($J96:$U96,TRANSPOSE(DC$3:DC$14))</f>
        <v>0</v>
      </c>
      <c r="DD96" s="3">
        <f t="array" ref="DD96">SUMPRODUCT($J96:$U96,TRANSPOSE(DD$3:DD$14))</f>
        <v>0</v>
      </c>
      <c r="DE96" s="3">
        <f t="array" ref="DE96">SUMPRODUCT($J96:$U96,TRANSPOSE(DE$3:DE$14))</f>
        <v>0</v>
      </c>
    </row>
    <row r="97" spans="1:109" ht="13.5" thickBot="1" x14ac:dyDescent="0.25">
      <c r="A97" s="3">
        <v>158</v>
      </c>
      <c r="B97" s="9" t="s">
        <v>526</v>
      </c>
      <c r="C97" s="3" t="s">
        <v>13</v>
      </c>
      <c r="D97" s="3">
        <v>410404198</v>
      </c>
      <c r="F97" s="3" t="s">
        <v>58</v>
      </c>
      <c r="G97" s="3" t="s">
        <v>14</v>
      </c>
      <c r="H97" s="3">
        <v>1</v>
      </c>
      <c r="I97" s="3">
        <v>4</v>
      </c>
      <c r="J97" s="3">
        <v>0</v>
      </c>
      <c r="K97" s="3">
        <v>2</v>
      </c>
      <c r="L97" s="3">
        <v>0</v>
      </c>
      <c r="M97" s="3">
        <v>0</v>
      </c>
      <c r="N97" s="3">
        <v>2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f t="shared" si="40"/>
        <v>4</v>
      </c>
      <c r="W97" s="3">
        <f t="shared" si="41"/>
        <v>520</v>
      </c>
      <c r="X97" s="8" t="s">
        <v>363</v>
      </c>
      <c r="Y97" s="3">
        <v>15</v>
      </c>
      <c r="Z97" s="3" t="s">
        <v>55</v>
      </c>
      <c r="AA97" s="3" t="s">
        <v>56</v>
      </c>
      <c r="AB97" s="3">
        <v>91.973118825300006</v>
      </c>
      <c r="AC97" s="3" t="s">
        <v>57</v>
      </c>
      <c r="BJ97" s="3">
        <f>SUM($AE97,$AF97:AH97)-SUM($CH97:CK97)</f>
        <v>0</v>
      </c>
      <c r="BK97" s="3">
        <f>SUM($AE97,$AF97:AI97)-SUM($CH97:CL97)</f>
        <v>-40</v>
      </c>
      <c r="BL97" s="3">
        <f>SUM($AE97,$AF97:AJ97)-SUM($CH97:CM97)</f>
        <v>-100</v>
      </c>
      <c r="BM97" s="3">
        <f>SUM($AE97,$AF97:AK97)-SUM($CH97:CN97)</f>
        <v>-160</v>
      </c>
      <c r="BN97" s="3">
        <f>SUM($AE97,$AF97:AL97)-SUM($CH97:CO97)</f>
        <v>-240</v>
      </c>
      <c r="BO97" s="3">
        <f>SUM($AE97,$AF97:AM97)-SUM($CH97:CP97)</f>
        <v>-320</v>
      </c>
      <c r="BP97" s="3">
        <f>SUM($AE97,$AF97:AN97)-SUM($CH97:CQ97)</f>
        <v>-400</v>
      </c>
      <c r="BQ97" s="3">
        <f>SUM($AE97,$AF97:AO97)-SUM($CH97:CR97)</f>
        <v>-480</v>
      </c>
      <c r="BR97" s="3">
        <f>SUM($AE97,$AF97:AP97)-SUM($CH97:CS97)</f>
        <v>-520</v>
      </c>
      <c r="BS97" s="3">
        <f>SUM($AE97,$AF97:AQ97)-SUM($CH97:CT97)</f>
        <v>-520</v>
      </c>
      <c r="BT97" s="3">
        <f>SUM($AE97,$AF97:AR97)-SUM($CH97:CU97)</f>
        <v>-520</v>
      </c>
      <c r="BU97" s="3">
        <f>SUM($AE97,$AF97:AS97)-SUM($CH97:CV97)</f>
        <v>-520</v>
      </c>
      <c r="BV97" s="3">
        <f>SUM($AE97,$AF97:AT97)-SUM($CH97:CW97)</f>
        <v>-520</v>
      </c>
      <c r="BW97" s="3">
        <f>SUM($AE97,$AF97:AU97)-SUM($CH97:CX97)</f>
        <v>-520</v>
      </c>
      <c r="BX97" s="3">
        <f>SUM($AE97,$AF97:AV97)-SUM($CH97:CY97)</f>
        <v>-520</v>
      </c>
      <c r="BY97" s="3">
        <f>SUM($AE97,$AF97:AW97)-SUM($CH97:CZ97)</f>
        <v>-520</v>
      </c>
      <c r="BZ97" s="3">
        <f>SUM($AE97,$AF97:AX97)-SUM($CH97:DA97)</f>
        <v>-520</v>
      </c>
      <c r="CA97" s="3">
        <f>SUM($AE97,$AF97:AY97)-SUM($CH97:DB97)</f>
        <v>-520</v>
      </c>
      <c r="CB97" s="3">
        <f>SUM($AE97,$AF97:AZ97)-SUM($CH97:DC97)</f>
        <v>-520</v>
      </c>
      <c r="CC97" s="3">
        <f>SUM($AE97,$AF97:BA97)-SUM($CH97:DD97)</f>
        <v>-520</v>
      </c>
      <c r="CI97" s="3">
        <f t="array" ref="CI97">SUMPRODUCT($J97:$U97,TRANSPOSE(CI$3:CI$14))</f>
        <v>0</v>
      </c>
      <c r="CJ97" s="3">
        <f t="array" ref="CJ97">SUMPRODUCT($J97:$U97,TRANSPOSE(CJ$3:CJ$14))</f>
        <v>0</v>
      </c>
      <c r="CK97" s="3">
        <f t="array" ref="CK97">SUMPRODUCT($J97:$U97,TRANSPOSE(CK$3:CK$14))</f>
        <v>0</v>
      </c>
      <c r="CL97" s="3">
        <f t="array" ref="CL97">SUMPRODUCT($J97:$U97,TRANSPOSE(CL$3:CL$14))</f>
        <v>40</v>
      </c>
      <c r="CM97" s="3">
        <f t="array" ref="CM97">SUMPRODUCT($J97:$U97,TRANSPOSE(CM$3:CM$14))</f>
        <v>60</v>
      </c>
      <c r="CN97" s="3">
        <f t="array" ref="CN97">SUMPRODUCT($J97:$U97,TRANSPOSE(CN$3:CN$14))</f>
        <v>60</v>
      </c>
      <c r="CO97" s="3">
        <f t="array" ref="CO97">SUMPRODUCT($J97:$U97,TRANSPOSE(CO$3:CO$14))</f>
        <v>80</v>
      </c>
      <c r="CP97" s="3">
        <f t="array" ref="CP97">SUMPRODUCT($J97:$U97,TRANSPOSE(CP$3:CP$14))</f>
        <v>80</v>
      </c>
      <c r="CQ97" s="3">
        <f t="array" ref="CQ97">SUMPRODUCT($J97:$U97,TRANSPOSE(CQ$3:CQ$14))</f>
        <v>80</v>
      </c>
      <c r="CR97" s="3">
        <f t="array" ref="CR97">SUMPRODUCT($J97:$U97,TRANSPOSE(CR$3:CR$14))</f>
        <v>80</v>
      </c>
      <c r="CS97" s="3">
        <f t="array" ref="CS97">SUMPRODUCT($J97:$U97,TRANSPOSE(CS$3:CS$14))</f>
        <v>40</v>
      </c>
      <c r="CT97" s="3">
        <f t="array" ref="CT97">SUMPRODUCT($J97:$U97,TRANSPOSE(CT$3:CT$14))</f>
        <v>0</v>
      </c>
      <c r="CU97" s="3">
        <f t="array" ref="CU97">SUMPRODUCT($J97:$U97,TRANSPOSE(CU$3:CU$14))</f>
        <v>0</v>
      </c>
      <c r="CV97" s="3">
        <f t="array" ref="CV97">SUMPRODUCT($J97:$U97,TRANSPOSE(CV$3:CV$14))</f>
        <v>0</v>
      </c>
      <c r="CW97" s="3">
        <f t="array" ref="CW97">SUMPRODUCT($J97:$U97,TRANSPOSE(CW$3:CW$14))</f>
        <v>0</v>
      </c>
      <c r="CX97" s="3">
        <f t="array" ref="CX97">SUMPRODUCT($J97:$U97,TRANSPOSE(CX$3:CX$14))</f>
        <v>0</v>
      </c>
      <c r="CY97" s="3">
        <f t="array" ref="CY97">SUMPRODUCT($J97:$U97,TRANSPOSE(CY$3:CY$14))</f>
        <v>0</v>
      </c>
      <c r="CZ97" s="3">
        <f t="array" ref="CZ97">SUMPRODUCT($J97:$U97,TRANSPOSE(CZ$3:CZ$14))</f>
        <v>0</v>
      </c>
      <c r="DA97" s="3">
        <f t="array" ref="DA97">SUMPRODUCT($J97:$U97,TRANSPOSE(DA$3:DA$14))</f>
        <v>0</v>
      </c>
      <c r="DB97" s="3">
        <f t="array" ref="DB97">SUMPRODUCT($J97:$U97,TRANSPOSE(DB$3:DB$14))</f>
        <v>0</v>
      </c>
      <c r="DC97" s="3">
        <f t="array" ref="DC97">SUMPRODUCT($J97:$U97,TRANSPOSE(DC$3:DC$14))</f>
        <v>0</v>
      </c>
      <c r="DD97" s="3">
        <f t="array" ref="DD97">SUMPRODUCT($J97:$U97,TRANSPOSE(DD$3:DD$14))</f>
        <v>0</v>
      </c>
      <c r="DE97" s="3">
        <f t="array" ref="DE97">SUMPRODUCT($J97:$U97,TRANSPOSE(DE$3:DE$14))</f>
        <v>0</v>
      </c>
    </row>
    <row r="98" spans="1:109" ht="13.5" thickBot="1" x14ac:dyDescent="0.25">
      <c r="A98" s="3">
        <v>159</v>
      </c>
      <c r="B98" s="9" t="s">
        <v>527</v>
      </c>
      <c r="C98" s="3" t="s">
        <v>13</v>
      </c>
      <c r="D98" s="16">
        <v>410810135</v>
      </c>
      <c r="F98" s="3" t="s">
        <v>528</v>
      </c>
      <c r="G98" s="3" t="s">
        <v>14</v>
      </c>
      <c r="H98" s="3">
        <v>1</v>
      </c>
      <c r="I98" s="3">
        <v>4</v>
      </c>
      <c r="J98" s="3">
        <v>0</v>
      </c>
      <c r="K98" s="3">
        <v>2</v>
      </c>
      <c r="L98" s="3">
        <v>0</v>
      </c>
      <c r="M98" s="3">
        <v>0</v>
      </c>
      <c r="N98" s="3">
        <v>2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f t="shared" si="40"/>
        <v>4</v>
      </c>
      <c r="W98" s="3">
        <f t="shared" si="41"/>
        <v>520</v>
      </c>
      <c r="X98" s="8" t="s">
        <v>363</v>
      </c>
      <c r="Y98" s="19">
        <v>10</v>
      </c>
      <c r="Z98" s="3" t="s">
        <v>44</v>
      </c>
      <c r="AA98" s="3" t="s">
        <v>45</v>
      </c>
      <c r="AB98" s="3" t="s">
        <v>46</v>
      </c>
      <c r="AC98" s="3" t="s">
        <v>47</v>
      </c>
      <c r="BJ98" s="3">
        <f>SUM($AE98,$AF98:AH98)-SUM($CH98:CK98)</f>
        <v>0</v>
      </c>
      <c r="BK98" s="3">
        <f>SUM($AE98,$AF98:AI98)-SUM($CH98:CL98)</f>
        <v>-40</v>
      </c>
      <c r="BL98" s="3">
        <f>SUM($AE98,$AF98:AJ98)-SUM($CH98:CM98)</f>
        <v>-100</v>
      </c>
      <c r="BM98" s="3">
        <f>SUM($AE98,$AF98:AK98)-SUM($CH98:CN98)</f>
        <v>-160</v>
      </c>
      <c r="BN98" s="3">
        <f>SUM($AE98,$AF98:AL98)-SUM($CH98:CO98)</f>
        <v>-240</v>
      </c>
      <c r="BO98" s="3">
        <f>SUM($AE98,$AF98:AM98)-SUM($CH98:CP98)</f>
        <v>-320</v>
      </c>
      <c r="BP98" s="3">
        <f>SUM($AE98,$AF98:AN98)-SUM($CH98:CQ98)</f>
        <v>-400</v>
      </c>
      <c r="BQ98" s="3">
        <f>SUM($AE98,$AF98:AO98)-SUM($CH98:CR98)</f>
        <v>-480</v>
      </c>
      <c r="BR98" s="3">
        <f>SUM($AE98,$AF98:AP98)-SUM($CH98:CS98)</f>
        <v>-520</v>
      </c>
      <c r="BS98" s="3">
        <f>SUM($AE98,$AF98:AQ98)-SUM($CH98:CT98)</f>
        <v>-520</v>
      </c>
      <c r="BT98" s="3">
        <f>SUM($AE98,$AF98:AR98)-SUM($CH98:CU98)</f>
        <v>-520</v>
      </c>
      <c r="BU98" s="3">
        <f>SUM($AE98,$AF98:AS98)-SUM($CH98:CV98)</f>
        <v>-520</v>
      </c>
      <c r="BV98" s="3">
        <f>SUM($AE98,$AF98:AT98)-SUM($CH98:CW98)</f>
        <v>-520</v>
      </c>
      <c r="BW98" s="3">
        <f>SUM($AE98,$AF98:AU98)-SUM($CH98:CX98)</f>
        <v>-520</v>
      </c>
      <c r="BX98" s="3">
        <f>SUM($AE98,$AF98:AV98)-SUM($CH98:CY98)</f>
        <v>-520</v>
      </c>
      <c r="BY98" s="3">
        <f>SUM($AE98,$AF98:AW98)-SUM($CH98:CZ98)</f>
        <v>-520</v>
      </c>
      <c r="BZ98" s="3">
        <f>SUM($AE98,$AF98:AX98)-SUM($CH98:DA98)</f>
        <v>-520</v>
      </c>
      <c r="CA98" s="3">
        <f>SUM($AE98,$AF98:AY98)-SUM($CH98:DB98)</f>
        <v>-520</v>
      </c>
      <c r="CB98" s="3">
        <f>SUM($AE98,$AF98:AZ98)-SUM($CH98:DC98)</f>
        <v>-520</v>
      </c>
      <c r="CC98" s="3">
        <f>SUM($AE98,$AF98:BA98)-SUM($CH98:DD98)</f>
        <v>-520</v>
      </c>
      <c r="CI98" s="3">
        <f t="array" ref="CI98">SUMPRODUCT($J98:$U98,TRANSPOSE(CI$3:CI$14))</f>
        <v>0</v>
      </c>
      <c r="CJ98" s="3">
        <f t="array" ref="CJ98">SUMPRODUCT($J98:$U98,TRANSPOSE(CJ$3:CJ$14))</f>
        <v>0</v>
      </c>
      <c r="CK98" s="3">
        <f t="array" ref="CK98">SUMPRODUCT($J98:$U98,TRANSPOSE(CK$3:CK$14))</f>
        <v>0</v>
      </c>
      <c r="CL98" s="3">
        <f t="array" ref="CL98">SUMPRODUCT($J98:$U98,TRANSPOSE(CL$3:CL$14))</f>
        <v>40</v>
      </c>
      <c r="CM98" s="3">
        <f t="array" ref="CM98">SUMPRODUCT($J98:$U98,TRANSPOSE(CM$3:CM$14))</f>
        <v>60</v>
      </c>
      <c r="CN98" s="3">
        <f t="array" ref="CN98">SUMPRODUCT($J98:$U98,TRANSPOSE(CN$3:CN$14))</f>
        <v>60</v>
      </c>
      <c r="CO98" s="3">
        <f t="array" ref="CO98">SUMPRODUCT($J98:$U98,TRANSPOSE(CO$3:CO$14))</f>
        <v>80</v>
      </c>
      <c r="CP98" s="3">
        <f t="array" ref="CP98">SUMPRODUCT($J98:$U98,TRANSPOSE(CP$3:CP$14))</f>
        <v>80</v>
      </c>
      <c r="CQ98" s="3">
        <f t="array" ref="CQ98">SUMPRODUCT($J98:$U98,TRANSPOSE(CQ$3:CQ$14))</f>
        <v>80</v>
      </c>
      <c r="CR98" s="3">
        <f t="array" ref="CR98">SUMPRODUCT($J98:$U98,TRANSPOSE(CR$3:CR$14))</f>
        <v>80</v>
      </c>
      <c r="CS98" s="3">
        <f t="array" ref="CS98">SUMPRODUCT($J98:$U98,TRANSPOSE(CS$3:CS$14))</f>
        <v>40</v>
      </c>
      <c r="CT98" s="3">
        <f t="array" ref="CT98">SUMPRODUCT($J98:$U98,TRANSPOSE(CT$3:CT$14))</f>
        <v>0</v>
      </c>
      <c r="CU98" s="3">
        <f t="array" ref="CU98">SUMPRODUCT($J98:$U98,TRANSPOSE(CU$3:CU$14))</f>
        <v>0</v>
      </c>
      <c r="CV98" s="3">
        <f t="array" ref="CV98">SUMPRODUCT($J98:$U98,TRANSPOSE(CV$3:CV$14))</f>
        <v>0</v>
      </c>
      <c r="CW98" s="3">
        <f t="array" ref="CW98">SUMPRODUCT($J98:$U98,TRANSPOSE(CW$3:CW$14))</f>
        <v>0</v>
      </c>
      <c r="CX98" s="3">
        <f t="array" ref="CX98">SUMPRODUCT($J98:$U98,TRANSPOSE(CX$3:CX$14))</f>
        <v>0</v>
      </c>
      <c r="CY98" s="3">
        <f t="array" ref="CY98">SUMPRODUCT($J98:$U98,TRANSPOSE(CY$3:CY$14))</f>
        <v>0</v>
      </c>
      <c r="CZ98" s="3">
        <f t="array" ref="CZ98">SUMPRODUCT($J98:$U98,TRANSPOSE(CZ$3:CZ$14))</f>
        <v>0</v>
      </c>
      <c r="DA98" s="3">
        <f t="array" ref="DA98">SUMPRODUCT($J98:$U98,TRANSPOSE(DA$3:DA$14))</f>
        <v>0</v>
      </c>
      <c r="DB98" s="3">
        <f t="array" ref="DB98">SUMPRODUCT($J98:$U98,TRANSPOSE(DB$3:DB$14))</f>
        <v>0</v>
      </c>
      <c r="DC98" s="3">
        <f t="array" ref="DC98">SUMPRODUCT($J98:$U98,TRANSPOSE(DC$3:DC$14))</f>
        <v>0</v>
      </c>
      <c r="DD98" s="3">
        <f t="array" ref="DD98">SUMPRODUCT($J98:$U98,TRANSPOSE(DD$3:DD$14))</f>
        <v>0</v>
      </c>
      <c r="DE98" s="3">
        <f t="array" ref="DE98">SUMPRODUCT($J98:$U98,TRANSPOSE(DE$3:DE$14))</f>
        <v>0</v>
      </c>
    </row>
    <row r="99" spans="1:109" ht="13.5" thickBot="1" x14ac:dyDescent="0.25">
      <c r="A99" s="3">
        <v>160</v>
      </c>
      <c r="B99" s="9" t="s">
        <v>529</v>
      </c>
      <c r="C99" s="3" t="s">
        <v>13</v>
      </c>
      <c r="D99" s="16">
        <v>410810136</v>
      </c>
      <c r="F99" s="3" t="s">
        <v>530</v>
      </c>
      <c r="G99" s="3" t="s">
        <v>14</v>
      </c>
      <c r="H99" s="3">
        <v>1</v>
      </c>
      <c r="I99" s="3">
        <v>1</v>
      </c>
      <c r="J99" s="3">
        <v>0</v>
      </c>
      <c r="K99" s="3">
        <v>1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f t="shared" si="40"/>
        <v>1</v>
      </c>
      <c r="W99" s="3">
        <f t="shared" si="41"/>
        <v>130</v>
      </c>
      <c r="X99" s="8" t="s">
        <v>363</v>
      </c>
      <c r="Y99" s="19">
        <v>7</v>
      </c>
      <c r="Z99" s="3" t="s">
        <v>39</v>
      </c>
      <c r="AA99" s="3" t="s">
        <v>40</v>
      </c>
      <c r="AB99" s="3" t="s">
        <v>41</v>
      </c>
      <c r="AC99" s="3" t="s">
        <v>42</v>
      </c>
      <c r="AD99" s="3" t="s">
        <v>531</v>
      </c>
      <c r="BJ99" s="3">
        <f>SUM($AE99,$AF99:AH99)-SUM($CH99:CK99)</f>
        <v>0</v>
      </c>
      <c r="BK99" s="3">
        <f>SUM($AE99,$AF99:AI99)-SUM($CH99:CL99)</f>
        <v>-10</v>
      </c>
      <c r="BL99" s="3">
        <f>SUM($AE99,$AF99:AJ99)-SUM($CH99:CM99)</f>
        <v>-25</v>
      </c>
      <c r="BM99" s="3">
        <f>SUM($AE99,$AF99:AK99)-SUM($CH99:CN99)</f>
        <v>-40</v>
      </c>
      <c r="BN99" s="3">
        <f>SUM($AE99,$AF99:AL99)-SUM($CH99:CO99)</f>
        <v>-60</v>
      </c>
      <c r="BO99" s="3">
        <f>SUM($AE99,$AF99:AM99)-SUM($CH99:CP99)</f>
        <v>-80</v>
      </c>
      <c r="BP99" s="3">
        <f>SUM($AE99,$AF99:AN99)-SUM($CH99:CQ99)</f>
        <v>-100</v>
      </c>
      <c r="BQ99" s="3">
        <f>SUM($AE99,$AF99:AO99)-SUM($CH99:CR99)</f>
        <v>-120</v>
      </c>
      <c r="BR99" s="3">
        <f>SUM($AE99,$AF99:AP99)-SUM($CH99:CS99)</f>
        <v>-130</v>
      </c>
      <c r="BS99" s="3">
        <f>SUM($AE99,$AF99:AQ99)-SUM($CH99:CT99)</f>
        <v>-130</v>
      </c>
      <c r="BT99" s="3">
        <f>SUM($AE99,$AF99:AR99)-SUM($CH99:CU99)</f>
        <v>-130</v>
      </c>
      <c r="BU99" s="3">
        <f>SUM($AE99,$AF99:AS99)-SUM($CH99:CV99)</f>
        <v>-130</v>
      </c>
      <c r="BV99" s="3">
        <f>SUM($AE99,$AF99:AT99)-SUM($CH99:CW99)</f>
        <v>-130</v>
      </c>
      <c r="BW99" s="3">
        <f>SUM($AE99,$AF99:AU99)-SUM($CH99:CX99)</f>
        <v>-130</v>
      </c>
      <c r="BX99" s="3">
        <f>SUM($AE99,$AF99:AV99)-SUM($CH99:CY99)</f>
        <v>-130</v>
      </c>
      <c r="BY99" s="3">
        <f>SUM($AE99,$AF99:AW99)-SUM($CH99:CZ99)</f>
        <v>-130</v>
      </c>
      <c r="BZ99" s="3">
        <f>SUM($AE99,$AF99:AX99)-SUM($CH99:DA99)</f>
        <v>-130</v>
      </c>
      <c r="CA99" s="3">
        <f>SUM($AE99,$AF99:AY99)-SUM($CH99:DB99)</f>
        <v>-130</v>
      </c>
      <c r="CB99" s="3">
        <f>SUM($AE99,$AF99:AZ99)-SUM($CH99:DC99)</f>
        <v>-130</v>
      </c>
      <c r="CC99" s="3">
        <f>SUM($AE99,$AF99:BA99)-SUM($CH99:DD99)</f>
        <v>-130</v>
      </c>
      <c r="CI99" s="3">
        <f t="array" ref="CI99">SUMPRODUCT($J99:$U99,TRANSPOSE(CI$3:CI$14))</f>
        <v>0</v>
      </c>
      <c r="CJ99" s="3">
        <f t="array" ref="CJ99">SUMPRODUCT($J99:$U99,TRANSPOSE(CJ$3:CJ$14))</f>
        <v>0</v>
      </c>
      <c r="CK99" s="3">
        <f t="array" ref="CK99">SUMPRODUCT($J99:$U99,TRANSPOSE(CK$3:CK$14))</f>
        <v>0</v>
      </c>
      <c r="CL99" s="3">
        <f t="array" ref="CL99">SUMPRODUCT($J99:$U99,TRANSPOSE(CL$3:CL$14))</f>
        <v>10</v>
      </c>
      <c r="CM99" s="3">
        <f t="array" ref="CM99">SUMPRODUCT($J99:$U99,TRANSPOSE(CM$3:CM$14))</f>
        <v>15</v>
      </c>
      <c r="CN99" s="3">
        <f t="array" ref="CN99">SUMPRODUCT($J99:$U99,TRANSPOSE(CN$3:CN$14))</f>
        <v>15</v>
      </c>
      <c r="CO99" s="3">
        <f t="array" ref="CO99">SUMPRODUCT($J99:$U99,TRANSPOSE(CO$3:CO$14))</f>
        <v>20</v>
      </c>
      <c r="CP99" s="3">
        <f t="array" ref="CP99">SUMPRODUCT($J99:$U99,TRANSPOSE(CP$3:CP$14))</f>
        <v>20</v>
      </c>
      <c r="CQ99" s="3">
        <f t="array" ref="CQ99">SUMPRODUCT($J99:$U99,TRANSPOSE(CQ$3:CQ$14))</f>
        <v>20</v>
      </c>
      <c r="CR99" s="3">
        <f t="array" ref="CR99">SUMPRODUCT($J99:$U99,TRANSPOSE(CR$3:CR$14))</f>
        <v>20</v>
      </c>
      <c r="CS99" s="3">
        <f t="array" ref="CS99">SUMPRODUCT($J99:$U99,TRANSPOSE(CS$3:CS$14))</f>
        <v>10</v>
      </c>
      <c r="CT99" s="3">
        <f t="array" ref="CT99">SUMPRODUCT($J99:$U99,TRANSPOSE(CT$3:CT$14))</f>
        <v>0</v>
      </c>
      <c r="CU99" s="3">
        <f t="array" ref="CU99">SUMPRODUCT($J99:$U99,TRANSPOSE(CU$3:CU$14))</f>
        <v>0</v>
      </c>
      <c r="CV99" s="3">
        <f t="array" ref="CV99">SUMPRODUCT($J99:$U99,TRANSPOSE(CV$3:CV$14))</f>
        <v>0</v>
      </c>
      <c r="CW99" s="3">
        <f t="array" ref="CW99">SUMPRODUCT($J99:$U99,TRANSPOSE(CW$3:CW$14))</f>
        <v>0</v>
      </c>
      <c r="CX99" s="3">
        <f t="array" ref="CX99">SUMPRODUCT($J99:$U99,TRANSPOSE(CX$3:CX$14))</f>
        <v>0</v>
      </c>
      <c r="CY99" s="3">
        <f t="array" ref="CY99">SUMPRODUCT($J99:$U99,TRANSPOSE(CY$3:CY$14))</f>
        <v>0</v>
      </c>
      <c r="CZ99" s="3">
        <f t="array" ref="CZ99">SUMPRODUCT($J99:$U99,TRANSPOSE(CZ$3:CZ$14))</f>
        <v>0</v>
      </c>
      <c r="DA99" s="3">
        <f t="array" ref="DA99">SUMPRODUCT($J99:$U99,TRANSPOSE(DA$3:DA$14))</f>
        <v>0</v>
      </c>
      <c r="DB99" s="3">
        <f t="array" ref="DB99">SUMPRODUCT($J99:$U99,TRANSPOSE(DB$3:DB$14))</f>
        <v>0</v>
      </c>
      <c r="DC99" s="3">
        <f t="array" ref="DC99">SUMPRODUCT($J99:$U99,TRANSPOSE(DC$3:DC$14))</f>
        <v>0</v>
      </c>
      <c r="DD99" s="3">
        <f t="array" ref="DD99">SUMPRODUCT($J99:$U99,TRANSPOSE(DD$3:DD$14))</f>
        <v>0</v>
      </c>
      <c r="DE99" s="3">
        <f t="array" ref="DE99">SUMPRODUCT($J99:$U99,TRANSPOSE(DE$3:DE$14))</f>
        <v>0</v>
      </c>
    </row>
    <row r="100" spans="1:109" ht="13.5" thickBot="1" x14ac:dyDescent="0.25">
      <c r="A100" s="3">
        <v>161</v>
      </c>
      <c r="B100" s="9" t="s">
        <v>532</v>
      </c>
      <c r="C100" s="3">
        <v>-1</v>
      </c>
      <c r="D100" s="16">
        <v>410404200</v>
      </c>
      <c r="F100" s="3" t="s">
        <v>533</v>
      </c>
      <c r="G100" s="3" t="s">
        <v>14</v>
      </c>
      <c r="H100" s="3">
        <v>1</v>
      </c>
      <c r="I100" s="3">
        <v>1</v>
      </c>
      <c r="J100" s="3">
        <v>0</v>
      </c>
      <c r="K100" s="3">
        <v>0</v>
      </c>
      <c r="L100" s="3">
        <v>0</v>
      </c>
      <c r="M100" s="3">
        <v>0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f t="shared" si="40"/>
        <v>1</v>
      </c>
      <c r="W100" s="3">
        <f t="shared" si="41"/>
        <v>130</v>
      </c>
      <c r="X100" s="8" t="s">
        <v>363</v>
      </c>
      <c r="Y100" s="19">
        <v>2810</v>
      </c>
      <c r="Z100" s="3" t="s">
        <v>55</v>
      </c>
      <c r="AA100" s="3" t="s">
        <v>56</v>
      </c>
      <c r="AB100" s="3">
        <v>91.973118825300006</v>
      </c>
      <c r="AC100" s="3" t="s">
        <v>57</v>
      </c>
      <c r="BJ100" s="3">
        <f>SUM($AE100,$AF100:AH100)-SUM($CH100:CK100)</f>
        <v>0</v>
      </c>
      <c r="BK100" s="3">
        <f>SUM($AE100,$AF100:AI100)-SUM($CH100:CL100)</f>
        <v>-10</v>
      </c>
      <c r="BL100" s="3">
        <f>SUM($AE100,$AF100:AJ100)-SUM($CH100:CM100)</f>
        <v>-25</v>
      </c>
      <c r="BM100" s="3">
        <f>SUM($AE100,$AF100:AK100)-SUM($CH100:CN100)</f>
        <v>-40</v>
      </c>
      <c r="BN100" s="3">
        <f>SUM($AE100,$AF100:AL100)-SUM($CH100:CO100)</f>
        <v>-60</v>
      </c>
      <c r="BO100" s="3">
        <f>SUM($AE100,$AF100:AM100)-SUM($CH100:CP100)</f>
        <v>-80</v>
      </c>
      <c r="BP100" s="3">
        <f>SUM($AE100,$AF100:AN100)-SUM($CH100:CQ100)</f>
        <v>-100</v>
      </c>
      <c r="BQ100" s="3">
        <f>SUM($AE100,$AF100:AO100)-SUM($CH100:CR100)</f>
        <v>-120</v>
      </c>
      <c r="BR100" s="3">
        <f>SUM($AE100,$AF100:AP100)-SUM($CH100:CS100)</f>
        <v>-130</v>
      </c>
      <c r="BS100" s="3">
        <f>SUM($AE100,$AF100:AQ100)-SUM($CH100:CT100)</f>
        <v>-130</v>
      </c>
      <c r="BT100" s="3">
        <f>SUM($AE100,$AF100:AR100)-SUM($CH100:CU100)</f>
        <v>-130</v>
      </c>
      <c r="BU100" s="3">
        <f>SUM($AE100,$AF100:AS100)-SUM($CH100:CV100)</f>
        <v>-130</v>
      </c>
      <c r="BV100" s="3">
        <f>SUM($AE100,$AF100:AT100)-SUM($CH100:CW100)</f>
        <v>-130</v>
      </c>
      <c r="BW100" s="3">
        <f>SUM($AE100,$AF100:AU100)-SUM($CH100:CX100)</f>
        <v>-130</v>
      </c>
      <c r="BX100" s="3">
        <f>SUM($AE100,$AF100:AV100)-SUM($CH100:CY100)</f>
        <v>-130</v>
      </c>
      <c r="BY100" s="3">
        <f>SUM($AE100,$AF100:AW100)-SUM($CH100:CZ100)</f>
        <v>-130</v>
      </c>
      <c r="BZ100" s="3">
        <f>SUM($AE100,$AF100:AX100)-SUM($CH100:DA100)</f>
        <v>-130</v>
      </c>
      <c r="CA100" s="3">
        <f>SUM($AE100,$AF100:AY100)-SUM($CH100:DB100)</f>
        <v>-130</v>
      </c>
      <c r="CB100" s="3">
        <f>SUM($AE100,$AF100:AZ100)-SUM($CH100:DC100)</f>
        <v>-130</v>
      </c>
      <c r="CC100" s="3">
        <f>SUM($AE100,$AF100:BA100)-SUM($CH100:DD100)</f>
        <v>-130</v>
      </c>
      <c r="CI100" s="3">
        <f t="array" ref="CI100">SUMPRODUCT($J100:$U100,TRANSPOSE(CI$3:CI$14))</f>
        <v>0</v>
      </c>
      <c r="CJ100" s="3">
        <f t="array" ref="CJ100">SUMPRODUCT($J100:$U100,TRANSPOSE(CJ$3:CJ$14))</f>
        <v>0</v>
      </c>
      <c r="CK100" s="3">
        <f t="array" ref="CK100">SUMPRODUCT($J100:$U100,TRANSPOSE(CK$3:CK$14))</f>
        <v>0</v>
      </c>
      <c r="CL100" s="3">
        <f t="array" ref="CL100">SUMPRODUCT($J100:$U100,TRANSPOSE(CL$3:CL$14))</f>
        <v>10</v>
      </c>
      <c r="CM100" s="3">
        <f t="array" ref="CM100">SUMPRODUCT($J100:$U100,TRANSPOSE(CM$3:CM$14))</f>
        <v>15</v>
      </c>
      <c r="CN100" s="3">
        <f t="array" ref="CN100">SUMPRODUCT($J100:$U100,TRANSPOSE(CN$3:CN$14))</f>
        <v>15</v>
      </c>
      <c r="CO100" s="3">
        <f t="array" ref="CO100">SUMPRODUCT($J100:$U100,TRANSPOSE(CO$3:CO$14))</f>
        <v>20</v>
      </c>
      <c r="CP100" s="3">
        <f t="array" ref="CP100">SUMPRODUCT($J100:$U100,TRANSPOSE(CP$3:CP$14))</f>
        <v>20</v>
      </c>
      <c r="CQ100" s="3">
        <f t="array" ref="CQ100">SUMPRODUCT($J100:$U100,TRANSPOSE(CQ$3:CQ$14))</f>
        <v>20</v>
      </c>
      <c r="CR100" s="3">
        <f t="array" ref="CR100">SUMPRODUCT($J100:$U100,TRANSPOSE(CR$3:CR$14))</f>
        <v>20</v>
      </c>
      <c r="CS100" s="3">
        <f t="array" ref="CS100">SUMPRODUCT($J100:$U100,TRANSPOSE(CS$3:CS$14))</f>
        <v>10</v>
      </c>
      <c r="CT100" s="3">
        <f t="array" ref="CT100">SUMPRODUCT($J100:$U100,TRANSPOSE(CT$3:CT$14))</f>
        <v>0</v>
      </c>
      <c r="CU100" s="3">
        <f t="array" ref="CU100">SUMPRODUCT($J100:$U100,TRANSPOSE(CU$3:CU$14))</f>
        <v>0</v>
      </c>
      <c r="CV100" s="3">
        <f t="array" ref="CV100">SUMPRODUCT($J100:$U100,TRANSPOSE(CV$3:CV$14))</f>
        <v>0</v>
      </c>
      <c r="CW100" s="3">
        <f t="array" ref="CW100">SUMPRODUCT($J100:$U100,TRANSPOSE(CW$3:CW$14))</f>
        <v>0</v>
      </c>
      <c r="CX100" s="3">
        <f t="array" ref="CX100">SUMPRODUCT($J100:$U100,TRANSPOSE(CX$3:CX$14))</f>
        <v>0</v>
      </c>
      <c r="CY100" s="3">
        <f t="array" ref="CY100">SUMPRODUCT($J100:$U100,TRANSPOSE(CY$3:CY$14))</f>
        <v>0</v>
      </c>
      <c r="CZ100" s="3">
        <f t="array" ref="CZ100">SUMPRODUCT($J100:$U100,TRANSPOSE(CZ$3:CZ$14))</f>
        <v>0</v>
      </c>
      <c r="DA100" s="3">
        <f t="array" ref="DA100">SUMPRODUCT($J100:$U100,TRANSPOSE(DA$3:DA$14))</f>
        <v>0</v>
      </c>
      <c r="DB100" s="3">
        <f t="array" ref="DB100">SUMPRODUCT($J100:$U100,TRANSPOSE(DB$3:DB$14))</f>
        <v>0</v>
      </c>
      <c r="DC100" s="3">
        <f t="array" ref="DC100">SUMPRODUCT($J100:$U100,TRANSPOSE(DC$3:DC$14))</f>
        <v>0</v>
      </c>
      <c r="DD100" s="3">
        <f t="array" ref="DD100">SUMPRODUCT($J100:$U100,TRANSPOSE(DD$3:DD$14))</f>
        <v>0</v>
      </c>
      <c r="DE100" s="3">
        <f t="array" ref="DE100">SUMPRODUCT($J100:$U100,TRANSPOSE(DE$3:DE$14))</f>
        <v>0</v>
      </c>
    </row>
    <row r="101" spans="1:109" ht="13.5" thickBot="1" x14ac:dyDescent="0.25">
      <c r="A101" s="3">
        <v>165</v>
      </c>
      <c r="B101" s="9" t="s">
        <v>534</v>
      </c>
      <c r="C101" s="3" t="s">
        <v>13</v>
      </c>
      <c r="D101" s="16">
        <v>410810149</v>
      </c>
      <c r="F101" s="3" t="s">
        <v>535</v>
      </c>
      <c r="G101" s="3" t="s">
        <v>14</v>
      </c>
      <c r="H101" s="3">
        <v>1</v>
      </c>
      <c r="I101" s="3">
        <v>1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f t="shared" si="40"/>
        <v>1</v>
      </c>
      <c r="W101" s="3">
        <f t="shared" si="41"/>
        <v>130</v>
      </c>
      <c r="X101" s="8" t="s">
        <v>363</v>
      </c>
      <c r="Y101" s="19">
        <v>3.6</v>
      </c>
      <c r="Z101" s="3" t="s">
        <v>39</v>
      </c>
      <c r="AA101" s="3" t="s">
        <v>40</v>
      </c>
      <c r="AB101" s="3" t="s">
        <v>41</v>
      </c>
      <c r="AC101" s="3" t="s">
        <v>42</v>
      </c>
      <c r="AD101" s="3" t="s">
        <v>531</v>
      </c>
      <c r="BJ101" s="3">
        <f>SUM($AE101,$AF101:AH101)-SUM($CH101:CK101)</f>
        <v>0</v>
      </c>
      <c r="BK101" s="3">
        <f>SUM($AE101,$AF101:AI101)-SUM($CH101:CL101)</f>
        <v>-10</v>
      </c>
      <c r="BL101" s="3">
        <f>SUM($AE101,$AF101:AJ101)-SUM($CH101:CM101)</f>
        <v>-25</v>
      </c>
      <c r="BM101" s="3">
        <f>SUM($AE101,$AF101:AK101)-SUM($CH101:CN101)</f>
        <v>-40</v>
      </c>
      <c r="BN101" s="3">
        <f>SUM($AE101,$AF101:AL101)-SUM($CH101:CO101)</f>
        <v>-60</v>
      </c>
      <c r="BO101" s="3">
        <f>SUM($AE101,$AF101:AM101)-SUM($CH101:CP101)</f>
        <v>-80</v>
      </c>
      <c r="BP101" s="3">
        <f>SUM($AE101,$AF101:AN101)-SUM($CH101:CQ101)</f>
        <v>-100</v>
      </c>
      <c r="BQ101" s="3">
        <f>SUM($AE101,$AF101:AO101)-SUM($CH101:CR101)</f>
        <v>-120</v>
      </c>
      <c r="BR101" s="3">
        <f>SUM($AE101,$AF101:AP101)-SUM($CH101:CS101)</f>
        <v>-130</v>
      </c>
      <c r="BS101" s="3">
        <f>SUM($AE101,$AF101:AQ101)-SUM($CH101:CT101)</f>
        <v>-130</v>
      </c>
      <c r="BT101" s="3">
        <f>SUM($AE101,$AF101:AR101)-SUM($CH101:CU101)</f>
        <v>-130</v>
      </c>
      <c r="BU101" s="3">
        <f>SUM($AE101,$AF101:AS101)-SUM($CH101:CV101)</f>
        <v>-130</v>
      </c>
      <c r="BV101" s="3">
        <f>SUM($AE101,$AF101:AT101)-SUM($CH101:CW101)</f>
        <v>-130</v>
      </c>
      <c r="BW101" s="3">
        <f>SUM($AE101,$AF101:AU101)-SUM($CH101:CX101)</f>
        <v>-130</v>
      </c>
      <c r="BX101" s="3">
        <f>SUM($AE101,$AF101:AV101)-SUM($CH101:CY101)</f>
        <v>-130</v>
      </c>
      <c r="BY101" s="3">
        <f>SUM($AE101,$AF101:AW101)-SUM($CH101:CZ101)</f>
        <v>-130</v>
      </c>
      <c r="BZ101" s="3">
        <f>SUM($AE101,$AF101:AX101)-SUM($CH101:DA101)</f>
        <v>-130</v>
      </c>
      <c r="CA101" s="3">
        <f>SUM($AE101,$AF101:AY101)-SUM($CH101:DB101)</f>
        <v>-130</v>
      </c>
      <c r="CB101" s="3">
        <f>SUM($AE101,$AF101:AZ101)-SUM($CH101:DC101)</f>
        <v>-130</v>
      </c>
      <c r="CC101" s="3">
        <f>SUM($AE101,$AF101:BA101)-SUM($CH101:DD101)</f>
        <v>-130</v>
      </c>
      <c r="CI101" s="3">
        <f t="array" ref="CI101">SUMPRODUCT($J101:$U101,TRANSPOSE(CI$3:CI$14))</f>
        <v>0</v>
      </c>
      <c r="CJ101" s="3">
        <f t="array" ref="CJ101">SUMPRODUCT($J101:$U101,TRANSPOSE(CJ$3:CJ$14))</f>
        <v>0</v>
      </c>
      <c r="CK101" s="3">
        <f t="array" ref="CK101">SUMPRODUCT($J101:$U101,TRANSPOSE(CK$3:CK$14))</f>
        <v>0</v>
      </c>
      <c r="CL101" s="3">
        <f t="array" ref="CL101">SUMPRODUCT($J101:$U101,TRANSPOSE(CL$3:CL$14))</f>
        <v>10</v>
      </c>
      <c r="CM101" s="3">
        <f t="array" ref="CM101">SUMPRODUCT($J101:$U101,TRANSPOSE(CM$3:CM$14))</f>
        <v>15</v>
      </c>
      <c r="CN101" s="3">
        <f t="array" ref="CN101">SUMPRODUCT($J101:$U101,TRANSPOSE(CN$3:CN$14))</f>
        <v>15</v>
      </c>
      <c r="CO101" s="3">
        <f t="array" ref="CO101">SUMPRODUCT($J101:$U101,TRANSPOSE(CO$3:CO$14))</f>
        <v>20</v>
      </c>
      <c r="CP101" s="3">
        <f t="array" ref="CP101">SUMPRODUCT($J101:$U101,TRANSPOSE(CP$3:CP$14))</f>
        <v>20</v>
      </c>
      <c r="CQ101" s="3">
        <f t="array" ref="CQ101">SUMPRODUCT($J101:$U101,TRANSPOSE(CQ$3:CQ$14))</f>
        <v>20</v>
      </c>
      <c r="CR101" s="3">
        <f t="array" ref="CR101">SUMPRODUCT($J101:$U101,TRANSPOSE(CR$3:CR$14))</f>
        <v>20</v>
      </c>
      <c r="CS101" s="3">
        <f t="array" ref="CS101">SUMPRODUCT($J101:$U101,TRANSPOSE(CS$3:CS$14))</f>
        <v>10</v>
      </c>
      <c r="CT101" s="3">
        <f t="array" ref="CT101">SUMPRODUCT($J101:$U101,TRANSPOSE(CT$3:CT$14))</f>
        <v>0</v>
      </c>
      <c r="CU101" s="3">
        <f t="array" ref="CU101">SUMPRODUCT($J101:$U101,TRANSPOSE(CU$3:CU$14))</f>
        <v>0</v>
      </c>
      <c r="CV101" s="3">
        <f t="array" ref="CV101">SUMPRODUCT($J101:$U101,TRANSPOSE(CV$3:CV$14))</f>
        <v>0</v>
      </c>
      <c r="CW101" s="3">
        <f t="array" ref="CW101">SUMPRODUCT($J101:$U101,TRANSPOSE(CW$3:CW$14))</f>
        <v>0</v>
      </c>
      <c r="CX101" s="3">
        <f t="array" ref="CX101">SUMPRODUCT($J101:$U101,TRANSPOSE(CX$3:CX$14))</f>
        <v>0</v>
      </c>
      <c r="CY101" s="3">
        <f t="array" ref="CY101">SUMPRODUCT($J101:$U101,TRANSPOSE(CY$3:CY$14))</f>
        <v>0</v>
      </c>
      <c r="CZ101" s="3">
        <f t="array" ref="CZ101">SUMPRODUCT($J101:$U101,TRANSPOSE(CZ$3:CZ$14))</f>
        <v>0</v>
      </c>
      <c r="DA101" s="3">
        <f t="array" ref="DA101">SUMPRODUCT($J101:$U101,TRANSPOSE(DA$3:DA$14))</f>
        <v>0</v>
      </c>
      <c r="DB101" s="3">
        <f t="array" ref="DB101">SUMPRODUCT($J101:$U101,TRANSPOSE(DB$3:DB$14))</f>
        <v>0</v>
      </c>
      <c r="DC101" s="3">
        <f t="array" ref="DC101">SUMPRODUCT($J101:$U101,TRANSPOSE(DC$3:DC$14))</f>
        <v>0</v>
      </c>
      <c r="DD101" s="3">
        <f t="array" ref="DD101">SUMPRODUCT($J101:$U101,TRANSPOSE(DD$3:DD$14))</f>
        <v>0</v>
      </c>
      <c r="DE101" s="3">
        <f t="array" ref="DE101">SUMPRODUCT($J101:$U101,TRANSPOSE(DE$3:DE$14))</f>
        <v>0</v>
      </c>
    </row>
    <row r="102" spans="1:109" ht="13.5" thickBot="1" x14ac:dyDescent="0.25">
      <c r="A102" s="3">
        <v>166</v>
      </c>
      <c r="B102" s="9" t="s">
        <v>536</v>
      </c>
      <c r="C102" s="3" t="s">
        <v>13</v>
      </c>
      <c r="D102" s="16">
        <v>410810150</v>
      </c>
      <c r="F102" s="3" t="s">
        <v>530</v>
      </c>
      <c r="G102" s="3" t="s">
        <v>14</v>
      </c>
      <c r="H102" s="3">
        <v>1</v>
      </c>
      <c r="I102" s="3">
        <v>1</v>
      </c>
      <c r="J102" s="3">
        <v>0</v>
      </c>
      <c r="K102" s="3">
        <v>0</v>
      </c>
      <c r="L102" s="3">
        <v>0</v>
      </c>
      <c r="M102" s="3">
        <v>0</v>
      </c>
      <c r="N102" s="3">
        <v>1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f t="shared" si="40"/>
        <v>1</v>
      </c>
      <c r="W102" s="3">
        <f t="shared" si="41"/>
        <v>130</v>
      </c>
      <c r="X102" s="8" t="s">
        <v>363</v>
      </c>
      <c r="Y102" s="19">
        <v>7.5</v>
      </c>
      <c r="Z102" s="3" t="s">
        <v>39</v>
      </c>
      <c r="AA102" s="3" t="s">
        <v>40</v>
      </c>
      <c r="AB102" s="3" t="s">
        <v>41</v>
      </c>
      <c r="AC102" s="3" t="s">
        <v>42</v>
      </c>
      <c r="AD102" s="3" t="s">
        <v>531</v>
      </c>
      <c r="BJ102" s="3">
        <f>SUM($AE102,$AF102:AH102)-SUM($CH102:CK102)</f>
        <v>0</v>
      </c>
      <c r="BK102" s="3">
        <f>SUM($AE102,$AF102:AI102)-SUM($CH102:CL102)</f>
        <v>-10</v>
      </c>
      <c r="BL102" s="3">
        <f>SUM($AE102,$AF102:AJ102)-SUM($CH102:CM102)</f>
        <v>-25</v>
      </c>
      <c r="BM102" s="3">
        <f>SUM($AE102,$AF102:AK102)-SUM($CH102:CN102)</f>
        <v>-40</v>
      </c>
      <c r="BN102" s="3">
        <f>SUM($AE102,$AF102:AL102)-SUM($CH102:CO102)</f>
        <v>-60</v>
      </c>
      <c r="BO102" s="3">
        <f>SUM($AE102,$AF102:AM102)-SUM($CH102:CP102)</f>
        <v>-80</v>
      </c>
      <c r="BP102" s="3">
        <f>SUM($AE102,$AF102:AN102)-SUM($CH102:CQ102)</f>
        <v>-100</v>
      </c>
      <c r="BQ102" s="3">
        <f>SUM($AE102,$AF102:AO102)-SUM($CH102:CR102)</f>
        <v>-120</v>
      </c>
      <c r="BR102" s="3">
        <f>SUM($AE102,$AF102:AP102)-SUM($CH102:CS102)</f>
        <v>-130</v>
      </c>
      <c r="BS102" s="3">
        <f>SUM($AE102,$AF102:AQ102)-SUM($CH102:CT102)</f>
        <v>-130</v>
      </c>
      <c r="BT102" s="3">
        <f>SUM($AE102,$AF102:AR102)-SUM($CH102:CU102)</f>
        <v>-130</v>
      </c>
      <c r="BU102" s="3">
        <f>SUM($AE102,$AF102:AS102)-SUM($CH102:CV102)</f>
        <v>-130</v>
      </c>
      <c r="BV102" s="3">
        <f>SUM($AE102,$AF102:AT102)-SUM($CH102:CW102)</f>
        <v>-130</v>
      </c>
      <c r="BW102" s="3">
        <f>SUM($AE102,$AF102:AU102)-SUM($CH102:CX102)</f>
        <v>-130</v>
      </c>
      <c r="BX102" s="3">
        <f>SUM($AE102,$AF102:AV102)-SUM($CH102:CY102)</f>
        <v>-130</v>
      </c>
      <c r="BY102" s="3">
        <f>SUM($AE102,$AF102:AW102)-SUM($CH102:CZ102)</f>
        <v>-130</v>
      </c>
      <c r="BZ102" s="3">
        <f>SUM($AE102,$AF102:AX102)-SUM($CH102:DA102)</f>
        <v>-130</v>
      </c>
      <c r="CA102" s="3">
        <f>SUM($AE102,$AF102:AY102)-SUM($CH102:DB102)</f>
        <v>-130</v>
      </c>
      <c r="CB102" s="3">
        <f>SUM($AE102,$AF102:AZ102)-SUM($CH102:DC102)</f>
        <v>-130</v>
      </c>
      <c r="CC102" s="3">
        <f>SUM($AE102,$AF102:BA102)-SUM($CH102:DD102)</f>
        <v>-130</v>
      </c>
      <c r="CI102" s="3">
        <f t="array" ref="CI102">SUMPRODUCT($J102:$U102,TRANSPOSE(CI$3:CI$14))</f>
        <v>0</v>
      </c>
      <c r="CJ102" s="3">
        <f t="array" ref="CJ102">SUMPRODUCT($J102:$U102,TRANSPOSE(CJ$3:CJ$14))</f>
        <v>0</v>
      </c>
      <c r="CK102" s="3">
        <f t="array" ref="CK102">SUMPRODUCT($J102:$U102,TRANSPOSE(CK$3:CK$14))</f>
        <v>0</v>
      </c>
      <c r="CL102" s="3">
        <f t="array" ref="CL102">SUMPRODUCT($J102:$U102,TRANSPOSE(CL$3:CL$14))</f>
        <v>10</v>
      </c>
      <c r="CM102" s="3">
        <f t="array" ref="CM102">SUMPRODUCT($J102:$U102,TRANSPOSE(CM$3:CM$14))</f>
        <v>15</v>
      </c>
      <c r="CN102" s="3">
        <f t="array" ref="CN102">SUMPRODUCT($J102:$U102,TRANSPOSE(CN$3:CN$14))</f>
        <v>15</v>
      </c>
      <c r="CO102" s="3">
        <f t="array" ref="CO102">SUMPRODUCT($J102:$U102,TRANSPOSE(CO$3:CO$14))</f>
        <v>20</v>
      </c>
      <c r="CP102" s="3">
        <f t="array" ref="CP102">SUMPRODUCT($J102:$U102,TRANSPOSE(CP$3:CP$14))</f>
        <v>20</v>
      </c>
      <c r="CQ102" s="3">
        <f t="array" ref="CQ102">SUMPRODUCT($J102:$U102,TRANSPOSE(CQ$3:CQ$14))</f>
        <v>20</v>
      </c>
      <c r="CR102" s="3">
        <f t="array" ref="CR102">SUMPRODUCT($J102:$U102,TRANSPOSE(CR$3:CR$14))</f>
        <v>20</v>
      </c>
      <c r="CS102" s="3">
        <f t="array" ref="CS102">SUMPRODUCT($J102:$U102,TRANSPOSE(CS$3:CS$14))</f>
        <v>10</v>
      </c>
      <c r="CT102" s="3">
        <f t="array" ref="CT102">SUMPRODUCT($J102:$U102,TRANSPOSE(CT$3:CT$14))</f>
        <v>0</v>
      </c>
      <c r="CU102" s="3">
        <f t="array" ref="CU102">SUMPRODUCT($J102:$U102,TRANSPOSE(CU$3:CU$14))</f>
        <v>0</v>
      </c>
      <c r="CV102" s="3">
        <f t="array" ref="CV102">SUMPRODUCT($J102:$U102,TRANSPOSE(CV$3:CV$14))</f>
        <v>0</v>
      </c>
      <c r="CW102" s="3">
        <f t="array" ref="CW102">SUMPRODUCT($J102:$U102,TRANSPOSE(CW$3:CW$14))</f>
        <v>0</v>
      </c>
      <c r="CX102" s="3">
        <f t="array" ref="CX102">SUMPRODUCT($J102:$U102,TRANSPOSE(CX$3:CX$14))</f>
        <v>0</v>
      </c>
      <c r="CY102" s="3">
        <f t="array" ref="CY102">SUMPRODUCT($J102:$U102,TRANSPOSE(CY$3:CY$14))</f>
        <v>0</v>
      </c>
      <c r="CZ102" s="3">
        <f t="array" ref="CZ102">SUMPRODUCT($J102:$U102,TRANSPOSE(CZ$3:CZ$14))</f>
        <v>0</v>
      </c>
      <c r="DA102" s="3">
        <f t="array" ref="DA102">SUMPRODUCT($J102:$U102,TRANSPOSE(DA$3:DA$14))</f>
        <v>0</v>
      </c>
      <c r="DB102" s="3">
        <f t="array" ref="DB102">SUMPRODUCT($J102:$U102,TRANSPOSE(DB$3:DB$14))</f>
        <v>0</v>
      </c>
      <c r="DC102" s="3">
        <f t="array" ref="DC102">SUMPRODUCT($J102:$U102,TRANSPOSE(DC$3:DC$14))</f>
        <v>0</v>
      </c>
      <c r="DD102" s="3">
        <f t="array" ref="DD102">SUMPRODUCT($J102:$U102,TRANSPOSE(DD$3:DD$14))</f>
        <v>0</v>
      </c>
      <c r="DE102" s="3">
        <f t="array" ref="DE102">SUMPRODUCT($J102:$U102,TRANSPOSE(DE$3:DE$14))</f>
        <v>0</v>
      </c>
    </row>
    <row r="103" spans="1:109" ht="13.5" thickBot="1" x14ac:dyDescent="0.25">
      <c r="A103" s="3">
        <v>224</v>
      </c>
      <c r="B103" s="9" t="s">
        <v>537</v>
      </c>
      <c r="C103" s="3" t="s">
        <v>49</v>
      </c>
      <c r="D103" s="3">
        <v>403830848</v>
      </c>
      <c r="F103" s="3" t="s">
        <v>538</v>
      </c>
      <c r="G103" s="3" t="s">
        <v>14</v>
      </c>
      <c r="H103" s="3">
        <v>1</v>
      </c>
      <c r="I103" s="3">
        <v>1</v>
      </c>
      <c r="J103" s="3">
        <v>1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f t="shared" si="40"/>
        <v>1</v>
      </c>
      <c r="W103" s="3">
        <f t="shared" si="41"/>
        <v>130</v>
      </c>
      <c r="X103" s="8" t="s">
        <v>50</v>
      </c>
      <c r="Z103" s="3" t="s">
        <v>55</v>
      </c>
      <c r="AA103" s="3" t="s">
        <v>56</v>
      </c>
      <c r="AB103" s="3">
        <v>91.973118825300006</v>
      </c>
      <c r="AC103" s="3" t="s">
        <v>57</v>
      </c>
      <c r="AD103" s="3" t="s">
        <v>50</v>
      </c>
      <c r="BJ103" s="3">
        <f>SUM($AE103,$AF103:AH103)-SUM($CH103:CK103)</f>
        <v>0</v>
      </c>
      <c r="BK103" s="3">
        <f>SUM($AE103,$AF103:AI103)-SUM($CH103:CL103)</f>
        <v>0</v>
      </c>
      <c r="BL103" s="3">
        <f>SUM($AE103,$AF103:AJ103)-SUM($CH103:CM103)</f>
        <v>-10</v>
      </c>
      <c r="BM103" s="3">
        <f>SUM($AE103,$AF103:AK103)-SUM($CH103:CN103)</f>
        <v>-25</v>
      </c>
      <c r="BN103" s="3">
        <f>SUM($AE103,$AF103:AL103)-SUM($CH103:CO103)</f>
        <v>-40</v>
      </c>
      <c r="BO103" s="3">
        <f>SUM($AE103,$AF103:AM103)-SUM($CH103:CP103)</f>
        <v>-60</v>
      </c>
      <c r="BP103" s="3">
        <f>SUM($AE103,$AF103:AN103)-SUM($CH103:CQ103)</f>
        <v>-80</v>
      </c>
      <c r="BQ103" s="3">
        <f>SUM($AE103,$AF103:AO103)-SUM($CH103:CR103)</f>
        <v>-100</v>
      </c>
      <c r="BR103" s="3">
        <f>SUM($AE103,$AF103:AP103)-SUM($CH103:CS103)</f>
        <v>-120</v>
      </c>
      <c r="BS103" s="3">
        <f>SUM($AE103,$AF103:AQ103)-SUM($CH103:CT103)</f>
        <v>-130</v>
      </c>
      <c r="BT103" s="3">
        <f>SUM($AE103,$AF103:AR103)-SUM($CH103:CU103)</f>
        <v>-130</v>
      </c>
      <c r="BU103" s="3">
        <f>SUM($AE103,$AF103:AS103)-SUM($CH103:CV103)</f>
        <v>-130</v>
      </c>
      <c r="BV103" s="3">
        <f>SUM($AE103,$AF103:AT103)-SUM($CH103:CW103)</f>
        <v>-130</v>
      </c>
      <c r="BW103" s="3">
        <f>SUM($AE103,$AF103:AU103)-SUM($CH103:CX103)</f>
        <v>-130</v>
      </c>
      <c r="BX103" s="3">
        <f>SUM($AE103,$AF103:AV103)-SUM($CH103:CY103)</f>
        <v>-130</v>
      </c>
      <c r="BY103" s="3">
        <f>SUM($AE103,$AF103:AW103)-SUM($CH103:CZ103)</f>
        <v>-130</v>
      </c>
      <c r="BZ103" s="3">
        <f>SUM($AE103,$AF103:AX103)-SUM($CH103:DA103)</f>
        <v>-130</v>
      </c>
      <c r="CA103" s="3">
        <f>SUM($AE103,$AF103:AY103)-SUM($CH103:DB103)</f>
        <v>-130</v>
      </c>
      <c r="CB103" s="3">
        <f>SUM($AE103,$AF103:AZ103)-SUM($CH103:DC103)</f>
        <v>-130</v>
      </c>
      <c r="CC103" s="3">
        <f>SUM($AE103,$AF103:BA103)-SUM($CH103:DD103)</f>
        <v>-130</v>
      </c>
      <c r="CI103" s="3">
        <f t="array" ref="CI103">SUMPRODUCT($J103:$U103,TRANSPOSE(CI$3:CI$14))</f>
        <v>0</v>
      </c>
      <c r="CJ103" s="3">
        <f t="array" ref="CJ103">SUMPRODUCT($J103:$U103,TRANSPOSE(CJ$3:CJ$14))</f>
        <v>0</v>
      </c>
      <c r="CK103" s="3">
        <f t="array" ref="CK103">SUMPRODUCT($J103:$U103,TRANSPOSE(CK$3:CK$14))</f>
        <v>0</v>
      </c>
      <c r="CL103" s="3">
        <f t="array" ref="CL103">SUMPRODUCT($J103:$U103,TRANSPOSE(CL$3:CL$14))</f>
        <v>0</v>
      </c>
      <c r="CM103" s="3">
        <f t="array" ref="CM103">SUMPRODUCT($J103:$U103,TRANSPOSE(CM$3:CM$14))</f>
        <v>10</v>
      </c>
      <c r="CN103" s="3">
        <f t="array" ref="CN103">SUMPRODUCT($J103:$U103,TRANSPOSE(CN$3:CN$14))</f>
        <v>15</v>
      </c>
      <c r="CO103" s="3">
        <f t="array" ref="CO103">SUMPRODUCT($J103:$U103,TRANSPOSE(CO$3:CO$14))</f>
        <v>15</v>
      </c>
      <c r="CP103" s="3">
        <f t="array" ref="CP103">SUMPRODUCT($J103:$U103,TRANSPOSE(CP$3:CP$14))</f>
        <v>20</v>
      </c>
      <c r="CQ103" s="3">
        <f t="array" ref="CQ103">SUMPRODUCT($J103:$U103,TRANSPOSE(CQ$3:CQ$14))</f>
        <v>20</v>
      </c>
      <c r="CR103" s="3">
        <f t="array" ref="CR103">SUMPRODUCT($J103:$U103,TRANSPOSE(CR$3:CR$14))</f>
        <v>20</v>
      </c>
      <c r="CS103" s="3">
        <f t="array" ref="CS103">SUMPRODUCT($J103:$U103,TRANSPOSE(CS$3:CS$14))</f>
        <v>20</v>
      </c>
      <c r="CT103" s="3">
        <f t="array" ref="CT103">SUMPRODUCT($J103:$U103,TRANSPOSE(CT$3:CT$14))</f>
        <v>10</v>
      </c>
      <c r="CU103" s="3">
        <f t="array" ref="CU103">SUMPRODUCT($J103:$U103,TRANSPOSE(CU$3:CU$14))</f>
        <v>0</v>
      </c>
      <c r="CV103" s="3">
        <f t="array" ref="CV103">SUMPRODUCT($J103:$U103,TRANSPOSE(CV$3:CV$14))</f>
        <v>0</v>
      </c>
      <c r="CW103" s="3">
        <f t="array" ref="CW103">SUMPRODUCT($J103:$U103,TRANSPOSE(CW$3:CW$14))</f>
        <v>0</v>
      </c>
      <c r="CX103" s="3">
        <f t="array" ref="CX103">SUMPRODUCT($J103:$U103,TRANSPOSE(CX$3:CX$14))</f>
        <v>0</v>
      </c>
      <c r="CY103" s="3">
        <f t="array" ref="CY103">SUMPRODUCT($J103:$U103,TRANSPOSE(CY$3:CY$14))</f>
        <v>0</v>
      </c>
      <c r="CZ103" s="3">
        <f t="array" ref="CZ103">SUMPRODUCT($J103:$U103,TRANSPOSE(CZ$3:CZ$14))</f>
        <v>0</v>
      </c>
      <c r="DA103" s="3">
        <f t="array" ref="DA103">SUMPRODUCT($J103:$U103,TRANSPOSE(DA$3:DA$14))</f>
        <v>0</v>
      </c>
      <c r="DB103" s="3">
        <f t="array" ref="DB103">SUMPRODUCT($J103:$U103,TRANSPOSE(DB$3:DB$14))</f>
        <v>0</v>
      </c>
      <c r="DC103" s="3">
        <f t="array" ref="DC103">SUMPRODUCT($J103:$U103,TRANSPOSE(DC$3:DC$14))</f>
        <v>0</v>
      </c>
      <c r="DD103" s="3">
        <f t="array" ref="DD103">SUMPRODUCT($J103:$U103,TRANSPOSE(DD$3:DD$14))</f>
        <v>0</v>
      </c>
      <c r="DE103" s="3">
        <f t="array" ref="DE103">SUMPRODUCT($J103:$U103,TRANSPOSE(DE$3:DE$14))</f>
        <v>0</v>
      </c>
    </row>
    <row r="104" spans="1:109" ht="13.5" thickBot="1" x14ac:dyDescent="0.25">
      <c r="A104" s="3">
        <v>232</v>
      </c>
      <c r="B104" s="9" t="s">
        <v>539</v>
      </c>
      <c r="C104" s="3" t="s">
        <v>16</v>
      </c>
      <c r="D104" s="3">
        <v>400574457</v>
      </c>
      <c r="F104" s="3" t="s">
        <v>540</v>
      </c>
      <c r="G104" s="3" t="s">
        <v>14</v>
      </c>
      <c r="H104" s="3">
        <v>1</v>
      </c>
      <c r="I104" s="3">
        <v>4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4</v>
      </c>
      <c r="R104" s="3">
        <v>0</v>
      </c>
      <c r="S104" s="3">
        <v>0</v>
      </c>
      <c r="T104" s="3">
        <v>0</v>
      </c>
      <c r="U104" s="3">
        <v>0</v>
      </c>
      <c r="V104" s="3">
        <f t="shared" si="40"/>
        <v>4</v>
      </c>
      <c r="W104" s="3">
        <f t="shared" si="41"/>
        <v>568</v>
      </c>
      <c r="X104" s="6" t="s">
        <v>541</v>
      </c>
      <c r="Y104" s="3">
        <v>18.18</v>
      </c>
      <c r="Z104" s="3" t="s">
        <v>542</v>
      </c>
      <c r="BJ104" s="3">
        <f>SUM($AE104,$AF104:AH104)-SUM($CH104:CK104)</f>
        <v>-40</v>
      </c>
      <c r="BK104" s="3">
        <f>SUM($AE104,$AF104:AI104)-SUM($CH104:CL104)</f>
        <v>-100</v>
      </c>
      <c r="BL104" s="3">
        <f>SUM($AE104,$AF104:AJ104)-SUM($CH104:CM104)</f>
        <v>-168</v>
      </c>
      <c r="BM104" s="3">
        <f>SUM($AE104,$AF104:AK104)-SUM($CH104:CN104)</f>
        <v>-248</v>
      </c>
      <c r="BN104" s="3">
        <f>SUM($AE104,$AF104:AL104)-SUM($CH104:CO104)</f>
        <v>-328</v>
      </c>
      <c r="BO104" s="3">
        <f>SUM($AE104,$AF104:AM104)-SUM($CH104:CP104)</f>
        <v>-408</v>
      </c>
      <c r="BP104" s="3">
        <f>SUM($AE104,$AF104:AN104)-SUM($CH104:CQ104)</f>
        <v>-488</v>
      </c>
      <c r="BQ104" s="3">
        <f>SUM($AE104,$AF104:AO104)-SUM($CH104:CR104)</f>
        <v>-568</v>
      </c>
      <c r="BR104" s="3">
        <f>SUM($AE104,$AF104:AP104)-SUM($CH104:CS104)</f>
        <v>-568</v>
      </c>
      <c r="BS104" s="3">
        <f>SUM($AE104,$AF104:AQ104)-SUM($CH104:CT104)</f>
        <v>-568</v>
      </c>
      <c r="BT104" s="3">
        <f>SUM($AE104,$AF104:AR104)-SUM($CH104:CU104)</f>
        <v>-568</v>
      </c>
      <c r="BU104" s="3">
        <f>SUM($AE104,$AF104:AS104)-SUM($CH104:CV104)</f>
        <v>-568</v>
      </c>
      <c r="BV104" s="3">
        <f>SUM($AE104,$AF104:AT104)-SUM($CH104:CW104)</f>
        <v>-568</v>
      </c>
      <c r="BW104" s="3">
        <f>SUM($AE104,$AF104:AU104)-SUM($CH104:CX104)</f>
        <v>-568</v>
      </c>
      <c r="BX104" s="3">
        <f>SUM($AE104,$AF104:AV104)-SUM($CH104:CY104)</f>
        <v>-568</v>
      </c>
      <c r="BY104" s="3">
        <f>SUM($AE104,$AF104:AW104)-SUM($CH104:CZ104)</f>
        <v>-568</v>
      </c>
      <c r="BZ104" s="3">
        <f>SUM($AE104,$AF104:AX104)-SUM($CH104:DA104)</f>
        <v>-568</v>
      </c>
      <c r="CA104" s="3">
        <f>SUM($AE104,$AF104:AY104)-SUM($CH104:DB104)</f>
        <v>-568</v>
      </c>
      <c r="CB104" s="3">
        <f>SUM($AE104,$AF104:AZ104)-SUM($CH104:DC104)</f>
        <v>-568</v>
      </c>
      <c r="CC104" s="3">
        <f>SUM($AE104,$AF104:BA104)-SUM($CH104:DD104)</f>
        <v>-568</v>
      </c>
      <c r="CI104" s="3">
        <f t="array" ref="CI104">SUMPRODUCT($J104:$U104,TRANSPOSE(CI$3:CI$14))</f>
        <v>0</v>
      </c>
      <c r="CJ104" s="3">
        <f t="array" ref="CJ104">SUMPRODUCT($J104:$U104,TRANSPOSE(CJ$3:CJ$14))</f>
        <v>0</v>
      </c>
      <c r="CK104" s="3">
        <f t="array" ref="CK104">SUMPRODUCT($J104:$U104,TRANSPOSE(CK$3:CK$14))</f>
        <v>40</v>
      </c>
      <c r="CL104" s="3">
        <f t="array" ref="CL104">SUMPRODUCT($J104:$U104,TRANSPOSE(CL$3:CL$14))</f>
        <v>60</v>
      </c>
      <c r="CM104" s="3">
        <f t="array" ref="CM104">SUMPRODUCT($J104:$U104,TRANSPOSE(CM$3:CM$14))</f>
        <v>68</v>
      </c>
      <c r="CN104" s="3">
        <f t="array" ref="CN104">SUMPRODUCT($J104:$U104,TRANSPOSE(CN$3:CN$14))</f>
        <v>80</v>
      </c>
      <c r="CO104" s="3">
        <f t="array" ref="CO104">SUMPRODUCT($J104:$U104,TRANSPOSE(CO$3:CO$14))</f>
        <v>80</v>
      </c>
      <c r="CP104" s="3">
        <f t="array" ref="CP104">SUMPRODUCT($J104:$U104,TRANSPOSE(CP$3:CP$14))</f>
        <v>80</v>
      </c>
      <c r="CQ104" s="3">
        <f t="array" ref="CQ104">SUMPRODUCT($J104:$U104,TRANSPOSE(CQ$3:CQ$14))</f>
        <v>80</v>
      </c>
      <c r="CR104" s="3">
        <f t="array" ref="CR104">SUMPRODUCT($J104:$U104,TRANSPOSE(CR$3:CR$14))</f>
        <v>80</v>
      </c>
      <c r="CS104" s="3">
        <f t="array" ref="CS104">SUMPRODUCT($J104:$U104,TRANSPOSE(CS$3:CS$14))</f>
        <v>0</v>
      </c>
      <c r="CT104" s="3">
        <f t="array" ref="CT104">SUMPRODUCT($J104:$U104,TRANSPOSE(CT$3:CT$14))</f>
        <v>0</v>
      </c>
      <c r="CU104" s="3">
        <f t="array" ref="CU104">SUMPRODUCT($J104:$U104,TRANSPOSE(CU$3:CU$14))</f>
        <v>0</v>
      </c>
      <c r="CV104" s="3">
        <f t="array" ref="CV104">SUMPRODUCT($J104:$U104,TRANSPOSE(CV$3:CV$14))</f>
        <v>0</v>
      </c>
      <c r="CW104" s="3">
        <f t="array" ref="CW104">SUMPRODUCT($J104:$U104,TRANSPOSE(CW$3:CW$14))</f>
        <v>0</v>
      </c>
      <c r="CX104" s="3">
        <f t="array" ref="CX104">SUMPRODUCT($J104:$U104,TRANSPOSE(CX$3:CX$14))</f>
        <v>0</v>
      </c>
      <c r="CY104" s="3">
        <f t="array" ref="CY104">SUMPRODUCT($J104:$U104,TRANSPOSE(CY$3:CY$14))</f>
        <v>0</v>
      </c>
      <c r="CZ104" s="3">
        <f t="array" ref="CZ104">SUMPRODUCT($J104:$U104,TRANSPOSE(CZ$3:CZ$14))</f>
        <v>0</v>
      </c>
      <c r="DA104" s="3">
        <f t="array" ref="DA104">SUMPRODUCT($J104:$U104,TRANSPOSE(DA$3:DA$14))</f>
        <v>0</v>
      </c>
      <c r="DB104" s="3">
        <f t="array" ref="DB104">SUMPRODUCT($J104:$U104,TRANSPOSE(DB$3:DB$14))</f>
        <v>0</v>
      </c>
      <c r="DC104" s="3">
        <f t="array" ref="DC104">SUMPRODUCT($J104:$U104,TRANSPOSE(DC$3:DC$14))</f>
        <v>0</v>
      </c>
      <c r="DD104" s="3">
        <f t="array" ref="DD104">SUMPRODUCT($J104:$U104,TRANSPOSE(DD$3:DD$14))</f>
        <v>0</v>
      </c>
      <c r="DE104" s="3">
        <f t="array" ref="DE104">SUMPRODUCT($J104:$U104,TRANSPOSE(DE$3:DE$14))</f>
        <v>0</v>
      </c>
    </row>
    <row r="105" spans="1:109" ht="13.5" thickBot="1" x14ac:dyDescent="0.25">
      <c r="A105" s="3">
        <v>233</v>
      </c>
      <c r="B105" s="9" t="s">
        <v>543</v>
      </c>
      <c r="C105" s="3" t="s">
        <v>16</v>
      </c>
      <c r="D105" s="3">
        <v>400350238</v>
      </c>
      <c r="F105" s="3" t="s">
        <v>544</v>
      </c>
      <c r="G105" s="3" t="s">
        <v>14</v>
      </c>
      <c r="H105" s="3">
        <v>1</v>
      </c>
      <c r="I105" s="3">
        <v>4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4</v>
      </c>
      <c r="R105" s="3">
        <v>0</v>
      </c>
      <c r="S105" s="3">
        <v>0</v>
      </c>
      <c r="T105" s="3">
        <v>0</v>
      </c>
      <c r="U105" s="3">
        <v>0</v>
      </c>
      <c r="V105" s="3">
        <f t="shared" si="40"/>
        <v>4</v>
      </c>
      <c r="W105" s="3">
        <f t="shared" si="41"/>
        <v>568</v>
      </c>
      <c r="X105" s="6" t="s">
        <v>447</v>
      </c>
      <c r="Y105" s="3">
        <v>30.75</v>
      </c>
      <c r="Z105" s="3" t="s">
        <v>542</v>
      </c>
      <c r="BJ105" s="3">
        <f>SUM($AE105,$AF105:AH105)-SUM($CH105:CK105)</f>
        <v>-40</v>
      </c>
      <c r="BK105" s="3">
        <f>SUM($AE105,$AF105:AI105)-SUM($CH105:CL105)</f>
        <v>-100</v>
      </c>
      <c r="BL105" s="3">
        <f>SUM($AE105,$AF105:AJ105)-SUM($CH105:CM105)</f>
        <v>-168</v>
      </c>
      <c r="BM105" s="3">
        <f>SUM($AE105,$AF105:AK105)-SUM($CH105:CN105)</f>
        <v>-248</v>
      </c>
      <c r="BN105" s="3">
        <f>SUM($AE105,$AF105:AL105)-SUM($CH105:CO105)</f>
        <v>-328</v>
      </c>
      <c r="BO105" s="3">
        <f>SUM($AE105,$AF105:AM105)-SUM($CH105:CP105)</f>
        <v>-408</v>
      </c>
      <c r="BP105" s="3">
        <f>SUM($AE105,$AF105:AN105)-SUM($CH105:CQ105)</f>
        <v>-488</v>
      </c>
      <c r="BQ105" s="3">
        <f>SUM($AE105,$AF105:AO105)-SUM($CH105:CR105)</f>
        <v>-568</v>
      </c>
      <c r="BR105" s="3">
        <f>SUM($AE105,$AF105:AP105)-SUM($CH105:CS105)</f>
        <v>-568</v>
      </c>
      <c r="BS105" s="3">
        <f>SUM($AE105,$AF105:AQ105)-SUM($CH105:CT105)</f>
        <v>-568</v>
      </c>
      <c r="BT105" s="3">
        <f>SUM($AE105,$AF105:AR105)-SUM($CH105:CU105)</f>
        <v>-568</v>
      </c>
      <c r="BU105" s="3">
        <f>SUM($AE105,$AF105:AS105)-SUM($CH105:CV105)</f>
        <v>-568</v>
      </c>
      <c r="BV105" s="3">
        <f>SUM($AE105,$AF105:AT105)-SUM($CH105:CW105)</f>
        <v>-568</v>
      </c>
      <c r="BW105" s="3">
        <f>SUM($AE105,$AF105:AU105)-SUM($CH105:CX105)</f>
        <v>-568</v>
      </c>
      <c r="BX105" s="3">
        <f>SUM($AE105,$AF105:AV105)-SUM($CH105:CY105)</f>
        <v>-568</v>
      </c>
      <c r="BY105" s="3">
        <f>SUM($AE105,$AF105:AW105)-SUM($CH105:CZ105)</f>
        <v>-568</v>
      </c>
      <c r="BZ105" s="3">
        <f>SUM($AE105,$AF105:AX105)-SUM($CH105:DA105)</f>
        <v>-568</v>
      </c>
      <c r="CA105" s="3">
        <f>SUM($AE105,$AF105:AY105)-SUM($CH105:DB105)</f>
        <v>-568</v>
      </c>
      <c r="CB105" s="3">
        <f>SUM($AE105,$AF105:AZ105)-SUM($CH105:DC105)</f>
        <v>-568</v>
      </c>
      <c r="CC105" s="3">
        <f>SUM($AE105,$AF105:BA105)-SUM($CH105:DD105)</f>
        <v>-568</v>
      </c>
      <c r="CI105" s="3">
        <f t="array" ref="CI105">SUMPRODUCT($J105:$U105,TRANSPOSE(CI$3:CI$14))</f>
        <v>0</v>
      </c>
      <c r="CJ105" s="3">
        <f t="array" ref="CJ105">SUMPRODUCT($J105:$U105,TRANSPOSE(CJ$3:CJ$14))</f>
        <v>0</v>
      </c>
      <c r="CK105" s="3">
        <f t="array" ref="CK105">SUMPRODUCT($J105:$U105,TRANSPOSE(CK$3:CK$14))</f>
        <v>40</v>
      </c>
      <c r="CL105" s="3">
        <f t="array" ref="CL105">SUMPRODUCT($J105:$U105,TRANSPOSE(CL$3:CL$14))</f>
        <v>60</v>
      </c>
      <c r="CM105" s="3">
        <f t="array" ref="CM105">SUMPRODUCT($J105:$U105,TRANSPOSE(CM$3:CM$14))</f>
        <v>68</v>
      </c>
      <c r="CN105" s="3">
        <f t="array" ref="CN105">SUMPRODUCT($J105:$U105,TRANSPOSE(CN$3:CN$14))</f>
        <v>80</v>
      </c>
      <c r="CO105" s="3">
        <f t="array" ref="CO105">SUMPRODUCT($J105:$U105,TRANSPOSE(CO$3:CO$14))</f>
        <v>80</v>
      </c>
      <c r="CP105" s="3">
        <f t="array" ref="CP105">SUMPRODUCT($J105:$U105,TRANSPOSE(CP$3:CP$14))</f>
        <v>80</v>
      </c>
      <c r="CQ105" s="3">
        <f t="array" ref="CQ105">SUMPRODUCT($J105:$U105,TRANSPOSE(CQ$3:CQ$14))</f>
        <v>80</v>
      </c>
      <c r="CR105" s="3">
        <f t="array" ref="CR105">SUMPRODUCT($J105:$U105,TRANSPOSE(CR$3:CR$14))</f>
        <v>80</v>
      </c>
      <c r="CS105" s="3">
        <f t="array" ref="CS105">SUMPRODUCT($J105:$U105,TRANSPOSE(CS$3:CS$14))</f>
        <v>0</v>
      </c>
      <c r="CT105" s="3">
        <f t="array" ref="CT105">SUMPRODUCT($J105:$U105,TRANSPOSE(CT$3:CT$14))</f>
        <v>0</v>
      </c>
      <c r="CU105" s="3">
        <f t="array" ref="CU105">SUMPRODUCT($J105:$U105,TRANSPOSE(CU$3:CU$14))</f>
        <v>0</v>
      </c>
      <c r="CV105" s="3">
        <f t="array" ref="CV105">SUMPRODUCT($J105:$U105,TRANSPOSE(CV$3:CV$14))</f>
        <v>0</v>
      </c>
      <c r="CW105" s="3">
        <f t="array" ref="CW105">SUMPRODUCT($J105:$U105,TRANSPOSE(CW$3:CW$14))</f>
        <v>0</v>
      </c>
      <c r="CX105" s="3">
        <f t="array" ref="CX105">SUMPRODUCT($J105:$U105,TRANSPOSE(CX$3:CX$14))</f>
        <v>0</v>
      </c>
      <c r="CY105" s="3">
        <f t="array" ref="CY105">SUMPRODUCT($J105:$U105,TRANSPOSE(CY$3:CY$14))</f>
        <v>0</v>
      </c>
      <c r="CZ105" s="3">
        <f t="array" ref="CZ105">SUMPRODUCT($J105:$U105,TRANSPOSE(CZ$3:CZ$14))</f>
        <v>0</v>
      </c>
      <c r="DA105" s="3">
        <f t="array" ref="DA105">SUMPRODUCT($J105:$U105,TRANSPOSE(DA$3:DA$14))</f>
        <v>0</v>
      </c>
      <c r="DB105" s="3">
        <f t="array" ref="DB105">SUMPRODUCT($J105:$U105,TRANSPOSE(DB$3:DB$14))</f>
        <v>0</v>
      </c>
      <c r="DC105" s="3">
        <f t="array" ref="DC105">SUMPRODUCT($J105:$U105,TRANSPOSE(DC$3:DC$14))</f>
        <v>0</v>
      </c>
      <c r="DD105" s="3">
        <f t="array" ref="DD105">SUMPRODUCT($J105:$U105,TRANSPOSE(DD$3:DD$14))</f>
        <v>0</v>
      </c>
      <c r="DE105" s="3">
        <f t="array" ref="DE105">SUMPRODUCT($J105:$U105,TRANSPOSE(DE$3:DE$14))</f>
        <v>0</v>
      </c>
    </row>
    <row r="106" spans="1:109" ht="13.5" thickBot="1" x14ac:dyDescent="0.25">
      <c r="A106" s="3">
        <v>238</v>
      </c>
      <c r="B106" s="9" t="s">
        <v>72</v>
      </c>
      <c r="C106" s="3" t="s">
        <v>16</v>
      </c>
      <c r="D106" s="3">
        <v>400542420</v>
      </c>
      <c r="E106" s="3">
        <v>400072364</v>
      </c>
      <c r="F106" s="3" t="s">
        <v>73</v>
      </c>
      <c r="G106" s="3" t="s">
        <v>14</v>
      </c>
      <c r="H106" s="3">
        <v>2</v>
      </c>
      <c r="I106" s="3">
        <v>4</v>
      </c>
      <c r="J106" s="3">
        <v>0</v>
      </c>
      <c r="K106" s="3">
        <v>2</v>
      </c>
      <c r="L106" s="3">
        <v>0</v>
      </c>
      <c r="M106" s="3">
        <v>0</v>
      </c>
      <c r="N106" s="3">
        <v>2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f t="shared" si="40"/>
        <v>4</v>
      </c>
      <c r="W106" s="3">
        <f t="shared" si="41"/>
        <v>520</v>
      </c>
      <c r="X106" s="6" t="s">
        <v>74</v>
      </c>
      <c r="Y106" s="3">
        <v>2.17</v>
      </c>
      <c r="Z106" s="3" t="s">
        <v>68</v>
      </c>
      <c r="AA106" s="3" t="s">
        <v>69</v>
      </c>
      <c r="AB106" s="3" t="s">
        <v>70</v>
      </c>
      <c r="AC106" s="3" t="s">
        <v>71</v>
      </c>
      <c r="BJ106" s="3">
        <f>SUM($AE106,$AF106:AH106)-SUM($CH106:CK106)</f>
        <v>0</v>
      </c>
      <c r="BK106" s="3">
        <f>SUM($AE106,$AF106:AI106)-SUM($CH106:CL106)</f>
        <v>-40</v>
      </c>
      <c r="BL106" s="3">
        <f>SUM($AE106,$AF106:AJ106)-SUM($CH106:CM106)</f>
        <v>-100</v>
      </c>
      <c r="BM106" s="3">
        <f>SUM($AE106,$AF106:AK106)-SUM($CH106:CN106)</f>
        <v>-160</v>
      </c>
      <c r="BN106" s="3">
        <f>SUM($AE106,$AF106:AL106)-SUM($CH106:CO106)</f>
        <v>-240</v>
      </c>
      <c r="BO106" s="3">
        <f>SUM($AE106,$AF106:AM106)-SUM($CH106:CP106)</f>
        <v>-320</v>
      </c>
      <c r="BP106" s="3">
        <f>SUM($AE106,$AF106:AN106)-SUM($CH106:CQ106)</f>
        <v>-400</v>
      </c>
      <c r="BQ106" s="3">
        <f>SUM($AE106,$AF106:AO106)-SUM($CH106:CR106)</f>
        <v>-480</v>
      </c>
      <c r="BR106" s="3">
        <f>SUM($AE106,$AF106:AP106)-SUM($CH106:CS106)</f>
        <v>-520</v>
      </c>
      <c r="BS106" s="3">
        <f>SUM($AE106,$AF106:AQ106)-SUM($CH106:CT106)</f>
        <v>-520</v>
      </c>
      <c r="BT106" s="3">
        <f>SUM($AE106,$AF106:AR106)-SUM($CH106:CU106)</f>
        <v>-520</v>
      </c>
      <c r="BU106" s="3">
        <f>SUM($AE106,$AF106:AS106)-SUM($CH106:CV106)</f>
        <v>-520</v>
      </c>
      <c r="BV106" s="3">
        <f>SUM($AE106,$AF106:AT106)-SUM($CH106:CW106)</f>
        <v>-520</v>
      </c>
      <c r="BW106" s="3">
        <f>SUM($AE106,$AF106:AU106)-SUM($CH106:CX106)</f>
        <v>-520</v>
      </c>
      <c r="BX106" s="3">
        <f>SUM($AE106,$AF106:AV106)-SUM($CH106:CY106)</f>
        <v>-520</v>
      </c>
      <c r="BY106" s="3">
        <f>SUM($AE106,$AF106:AW106)-SUM($CH106:CZ106)</f>
        <v>-520</v>
      </c>
      <c r="BZ106" s="3">
        <f>SUM($AE106,$AF106:AX106)-SUM($CH106:DA106)</f>
        <v>-520</v>
      </c>
      <c r="CA106" s="3">
        <f>SUM($AE106,$AF106:AY106)-SUM($CH106:DB106)</f>
        <v>-520</v>
      </c>
      <c r="CB106" s="3">
        <f>SUM($AE106,$AF106:AZ106)-SUM($CH106:DC106)</f>
        <v>-520</v>
      </c>
      <c r="CC106" s="3">
        <f>SUM($AE106,$AF106:BA106)-SUM($CH106:DD106)</f>
        <v>-520</v>
      </c>
      <c r="CI106" s="3">
        <f t="array" ref="CI106">SUMPRODUCT($J106:$U106,TRANSPOSE(CI$3:CI$14))</f>
        <v>0</v>
      </c>
      <c r="CJ106" s="3">
        <f t="array" ref="CJ106">SUMPRODUCT($J106:$U106,TRANSPOSE(CJ$3:CJ$14))</f>
        <v>0</v>
      </c>
      <c r="CK106" s="3">
        <f t="array" ref="CK106">SUMPRODUCT($J106:$U106,TRANSPOSE(CK$3:CK$14))</f>
        <v>0</v>
      </c>
      <c r="CL106" s="3">
        <f t="array" ref="CL106">SUMPRODUCT($J106:$U106,TRANSPOSE(CL$3:CL$14))</f>
        <v>40</v>
      </c>
      <c r="CM106" s="3">
        <f t="array" ref="CM106">SUMPRODUCT($J106:$U106,TRANSPOSE(CM$3:CM$14))</f>
        <v>60</v>
      </c>
      <c r="CN106" s="3">
        <f t="array" ref="CN106">SUMPRODUCT($J106:$U106,TRANSPOSE(CN$3:CN$14))</f>
        <v>60</v>
      </c>
      <c r="CO106" s="3">
        <f t="array" ref="CO106">SUMPRODUCT($J106:$U106,TRANSPOSE(CO$3:CO$14))</f>
        <v>80</v>
      </c>
      <c r="CP106" s="3">
        <f t="array" ref="CP106">SUMPRODUCT($J106:$U106,TRANSPOSE(CP$3:CP$14))</f>
        <v>80</v>
      </c>
      <c r="CQ106" s="3">
        <f t="array" ref="CQ106">SUMPRODUCT($J106:$U106,TRANSPOSE(CQ$3:CQ$14))</f>
        <v>80</v>
      </c>
      <c r="CR106" s="3">
        <f t="array" ref="CR106">SUMPRODUCT($J106:$U106,TRANSPOSE(CR$3:CR$14))</f>
        <v>80</v>
      </c>
      <c r="CS106" s="3">
        <f t="array" ref="CS106">SUMPRODUCT($J106:$U106,TRANSPOSE(CS$3:CS$14))</f>
        <v>40</v>
      </c>
      <c r="CT106" s="3">
        <f t="array" ref="CT106">SUMPRODUCT($J106:$U106,TRANSPOSE(CT$3:CT$14))</f>
        <v>0</v>
      </c>
      <c r="CU106" s="3">
        <f t="array" ref="CU106">SUMPRODUCT($J106:$U106,TRANSPOSE(CU$3:CU$14))</f>
        <v>0</v>
      </c>
      <c r="CV106" s="3">
        <f t="array" ref="CV106">SUMPRODUCT($J106:$U106,TRANSPOSE(CV$3:CV$14))</f>
        <v>0</v>
      </c>
      <c r="CW106" s="3">
        <f t="array" ref="CW106">SUMPRODUCT($J106:$U106,TRANSPOSE(CW$3:CW$14))</f>
        <v>0</v>
      </c>
      <c r="CX106" s="3">
        <f t="array" ref="CX106">SUMPRODUCT($J106:$U106,TRANSPOSE(CX$3:CX$14))</f>
        <v>0</v>
      </c>
      <c r="CY106" s="3">
        <f t="array" ref="CY106">SUMPRODUCT($J106:$U106,TRANSPOSE(CY$3:CY$14))</f>
        <v>0</v>
      </c>
      <c r="CZ106" s="3">
        <f t="array" ref="CZ106">SUMPRODUCT($J106:$U106,TRANSPOSE(CZ$3:CZ$14))</f>
        <v>0</v>
      </c>
      <c r="DA106" s="3">
        <f t="array" ref="DA106">SUMPRODUCT($J106:$U106,TRANSPOSE(DA$3:DA$14))</f>
        <v>0</v>
      </c>
      <c r="DB106" s="3">
        <f t="array" ref="DB106">SUMPRODUCT($J106:$U106,TRANSPOSE(DB$3:DB$14))</f>
        <v>0</v>
      </c>
      <c r="DC106" s="3">
        <f t="array" ref="DC106">SUMPRODUCT($J106:$U106,TRANSPOSE(DC$3:DC$14))</f>
        <v>0</v>
      </c>
      <c r="DD106" s="3">
        <f t="array" ref="DD106">SUMPRODUCT($J106:$U106,TRANSPOSE(DD$3:DD$14))</f>
        <v>0</v>
      </c>
      <c r="DE106" s="3">
        <f t="array" ref="DE106">SUMPRODUCT($J106:$U106,TRANSPOSE(DE$3:DE$14))</f>
        <v>0</v>
      </c>
    </row>
    <row r="107" spans="1:109" ht="13.5" thickBot="1" x14ac:dyDescent="0.25">
      <c r="A107" s="3">
        <v>242</v>
      </c>
      <c r="B107" s="9" t="s">
        <v>545</v>
      </c>
      <c r="C107" s="3" t="s">
        <v>16</v>
      </c>
      <c r="D107" s="3">
        <v>412241007</v>
      </c>
      <c r="E107" s="3">
        <v>410710871</v>
      </c>
      <c r="F107" s="3" t="s">
        <v>546</v>
      </c>
      <c r="G107" s="3" t="s">
        <v>14</v>
      </c>
      <c r="H107" s="3">
        <v>2</v>
      </c>
      <c r="I107" s="3">
        <v>3</v>
      </c>
      <c r="J107" s="3">
        <v>0</v>
      </c>
      <c r="K107" s="3">
        <v>3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f t="shared" si="40"/>
        <v>3</v>
      </c>
      <c r="W107" s="3">
        <f t="shared" si="41"/>
        <v>390</v>
      </c>
      <c r="X107" s="6" t="s">
        <v>67</v>
      </c>
      <c r="Y107" s="3">
        <v>9.1300000000000008</v>
      </c>
      <c r="Z107" s="3" t="s">
        <v>68</v>
      </c>
      <c r="AA107" s="3" t="s">
        <v>69</v>
      </c>
      <c r="AB107" s="3" t="s">
        <v>70</v>
      </c>
      <c r="AC107" s="3" t="s">
        <v>71</v>
      </c>
      <c r="BJ107" s="3">
        <f>SUM($AE107,$AF107:AH107)-SUM($CH107:CK107)</f>
        <v>0</v>
      </c>
      <c r="BK107" s="3">
        <f>SUM($AE107,$AF107:AI107)-SUM($CH107:CL107)</f>
        <v>-30</v>
      </c>
      <c r="BL107" s="3">
        <f>SUM($AE107,$AF107:AJ107)-SUM($CH107:CM107)</f>
        <v>-75</v>
      </c>
      <c r="BM107" s="3">
        <f>SUM($AE107,$AF107:AK107)-SUM($CH107:CN107)</f>
        <v>-120</v>
      </c>
      <c r="BN107" s="3">
        <f>SUM($AE107,$AF107:AL107)-SUM($CH107:CO107)</f>
        <v>-180</v>
      </c>
      <c r="BO107" s="3">
        <f>SUM($AE107,$AF107:AM107)-SUM($CH107:CP107)</f>
        <v>-240</v>
      </c>
      <c r="BP107" s="3">
        <f>SUM($AE107,$AF107:AN107)-SUM($CH107:CQ107)</f>
        <v>-300</v>
      </c>
      <c r="BQ107" s="3">
        <f>SUM($AE107,$AF107:AO107)-SUM($CH107:CR107)</f>
        <v>-360</v>
      </c>
      <c r="BR107" s="3">
        <f>SUM($AE107,$AF107:AP107)-SUM($CH107:CS107)</f>
        <v>-390</v>
      </c>
      <c r="BS107" s="3">
        <f>SUM($AE107,$AF107:AQ107)-SUM($CH107:CT107)</f>
        <v>-390</v>
      </c>
      <c r="BT107" s="3">
        <f>SUM($AE107,$AF107:AR107)-SUM($CH107:CU107)</f>
        <v>-390</v>
      </c>
      <c r="BU107" s="3">
        <f>SUM($AE107,$AF107:AS107)-SUM($CH107:CV107)</f>
        <v>-390</v>
      </c>
      <c r="BV107" s="3">
        <f>SUM($AE107,$AF107:AT107)-SUM($CH107:CW107)</f>
        <v>-390</v>
      </c>
      <c r="BW107" s="3">
        <f>SUM($AE107,$AF107:AU107)-SUM($CH107:CX107)</f>
        <v>-390</v>
      </c>
      <c r="BX107" s="3">
        <f>SUM($AE107,$AF107:AV107)-SUM($CH107:CY107)</f>
        <v>-390</v>
      </c>
      <c r="BY107" s="3">
        <f>SUM($AE107,$AF107:AW107)-SUM($CH107:CZ107)</f>
        <v>-390</v>
      </c>
      <c r="BZ107" s="3">
        <f>SUM($AE107,$AF107:AX107)-SUM($CH107:DA107)</f>
        <v>-390</v>
      </c>
      <c r="CA107" s="3">
        <f>SUM($AE107,$AF107:AY107)-SUM($CH107:DB107)</f>
        <v>-390</v>
      </c>
      <c r="CB107" s="3">
        <f>SUM($AE107,$AF107:AZ107)-SUM($CH107:DC107)</f>
        <v>-390</v>
      </c>
      <c r="CC107" s="3">
        <f>SUM($AE107,$AF107:BA107)-SUM($CH107:DD107)</f>
        <v>-390</v>
      </c>
      <c r="CI107" s="3">
        <f t="array" ref="CI107">SUMPRODUCT($J107:$U107,TRANSPOSE(CI$3:CI$14))</f>
        <v>0</v>
      </c>
      <c r="CJ107" s="3">
        <f t="array" ref="CJ107">SUMPRODUCT($J107:$U107,TRANSPOSE(CJ$3:CJ$14))</f>
        <v>0</v>
      </c>
      <c r="CK107" s="3">
        <f t="array" ref="CK107">SUMPRODUCT($J107:$U107,TRANSPOSE(CK$3:CK$14))</f>
        <v>0</v>
      </c>
      <c r="CL107" s="3">
        <f t="array" ref="CL107">SUMPRODUCT($J107:$U107,TRANSPOSE(CL$3:CL$14))</f>
        <v>30</v>
      </c>
      <c r="CM107" s="3">
        <f t="array" ref="CM107">SUMPRODUCT($J107:$U107,TRANSPOSE(CM$3:CM$14))</f>
        <v>45</v>
      </c>
      <c r="CN107" s="3">
        <f t="array" ref="CN107">SUMPRODUCT($J107:$U107,TRANSPOSE(CN$3:CN$14))</f>
        <v>45</v>
      </c>
      <c r="CO107" s="3">
        <f t="array" ref="CO107">SUMPRODUCT($J107:$U107,TRANSPOSE(CO$3:CO$14))</f>
        <v>60</v>
      </c>
      <c r="CP107" s="3">
        <f t="array" ref="CP107">SUMPRODUCT($J107:$U107,TRANSPOSE(CP$3:CP$14))</f>
        <v>60</v>
      </c>
      <c r="CQ107" s="3">
        <f t="array" ref="CQ107">SUMPRODUCT($J107:$U107,TRANSPOSE(CQ$3:CQ$14))</f>
        <v>60</v>
      </c>
      <c r="CR107" s="3">
        <f t="array" ref="CR107">SUMPRODUCT($J107:$U107,TRANSPOSE(CR$3:CR$14))</f>
        <v>60</v>
      </c>
      <c r="CS107" s="3">
        <f t="array" ref="CS107">SUMPRODUCT($J107:$U107,TRANSPOSE(CS$3:CS$14))</f>
        <v>30</v>
      </c>
      <c r="CT107" s="3">
        <f t="array" ref="CT107">SUMPRODUCT($J107:$U107,TRANSPOSE(CT$3:CT$14))</f>
        <v>0</v>
      </c>
      <c r="CU107" s="3">
        <f t="array" ref="CU107">SUMPRODUCT($J107:$U107,TRANSPOSE(CU$3:CU$14))</f>
        <v>0</v>
      </c>
      <c r="CV107" s="3">
        <f t="array" ref="CV107">SUMPRODUCT($J107:$U107,TRANSPOSE(CV$3:CV$14))</f>
        <v>0</v>
      </c>
      <c r="CW107" s="3">
        <f t="array" ref="CW107">SUMPRODUCT($J107:$U107,TRANSPOSE(CW$3:CW$14))</f>
        <v>0</v>
      </c>
      <c r="CX107" s="3">
        <f t="array" ref="CX107">SUMPRODUCT($J107:$U107,TRANSPOSE(CX$3:CX$14))</f>
        <v>0</v>
      </c>
      <c r="CY107" s="3">
        <f t="array" ref="CY107">SUMPRODUCT($J107:$U107,TRANSPOSE(CY$3:CY$14))</f>
        <v>0</v>
      </c>
      <c r="CZ107" s="3">
        <f t="array" ref="CZ107">SUMPRODUCT($J107:$U107,TRANSPOSE(CZ$3:CZ$14))</f>
        <v>0</v>
      </c>
      <c r="DA107" s="3">
        <f t="array" ref="DA107">SUMPRODUCT($J107:$U107,TRANSPOSE(DA$3:DA$14))</f>
        <v>0</v>
      </c>
      <c r="DB107" s="3">
        <f t="array" ref="DB107">SUMPRODUCT($J107:$U107,TRANSPOSE(DB$3:DB$14))</f>
        <v>0</v>
      </c>
      <c r="DC107" s="3">
        <f t="array" ref="DC107">SUMPRODUCT($J107:$U107,TRANSPOSE(DC$3:DC$14))</f>
        <v>0</v>
      </c>
      <c r="DD107" s="3">
        <f t="array" ref="DD107">SUMPRODUCT($J107:$U107,TRANSPOSE(DD$3:DD$14))</f>
        <v>0</v>
      </c>
      <c r="DE107" s="3">
        <f t="array" ref="DE107">SUMPRODUCT($J107:$U107,TRANSPOSE(DE$3:DE$14))</f>
        <v>0</v>
      </c>
    </row>
    <row r="108" spans="1:109" ht="13.5" thickBot="1" x14ac:dyDescent="0.25">
      <c r="A108" s="3">
        <v>252</v>
      </c>
      <c r="B108" s="9" t="s">
        <v>547</v>
      </c>
      <c r="C108" s="3" t="s">
        <v>16</v>
      </c>
      <c r="D108" s="3" t="s">
        <v>548</v>
      </c>
      <c r="E108" s="3" t="s">
        <v>549</v>
      </c>
      <c r="F108" s="3" t="s">
        <v>550</v>
      </c>
      <c r="G108" s="3" t="s">
        <v>14</v>
      </c>
      <c r="H108" s="3">
        <v>2</v>
      </c>
      <c r="I108" s="3">
        <v>1</v>
      </c>
      <c r="J108" s="3">
        <v>1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f t="shared" si="40"/>
        <v>1</v>
      </c>
      <c r="W108" s="3">
        <f t="shared" si="41"/>
        <v>130</v>
      </c>
      <c r="X108" s="6" t="s">
        <v>551</v>
      </c>
      <c r="Y108" s="3">
        <v>36.74</v>
      </c>
      <c r="Z108" s="3" t="s">
        <v>258</v>
      </c>
      <c r="AA108" s="3" t="s">
        <v>259</v>
      </c>
      <c r="AB108" s="3" t="s">
        <v>260</v>
      </c>
      <c r="AC108" s="3" t="s">
        <v>261</v>
      </c>
      <c r="BJ108" s="3">
        <f>SUM($AE108,$AF108:AH108)-SUM($CH108:CK108)</f>
        <v>0</v>
      </c>
      <c r="BK108" s="3">
        <f>SUM($AE108,$AF108:AI108)-SUM($CH108:CL108)</f>
        <v>0</v>
      </c>
      <c r="BL108" s="3">
        <f>SUM($AE108,$AF108:AJ108)-SUM($CH108:CM108)</f>
        <v>-10</v>
      </c>
      <c r="BM108" s="3">
        <f>SUM($AE108,$AF108:AK108)-SUM($CH108:CN108)</f>
        <v>-25</v>
      </c>
      <c r="BN108" s="3">
        <f>SUM($AE108,$AF108:AL108)-SUM($CH108:CO108)</f>
        <v>-40</v>
      </c>
      <c r="BO108" s="3">
        <f>SUM($AE108,$AF108:AM108)-SUM($CH108:CP108)</f>
        <v>-60</v>
      </c>
      <c r="BP108" s="3">
        <f>SUM($AE108,$AF108:AN108)-SUM($CH108:CQ108)</f>
        <v>-80</v>
      </c>
      <c r="BQ108" s="3">
        <f>SUM($AE108,$AF108:AO108)-SUM($CH108:CR108)</f>
        <v>-100</v>
      </c>
      <c r="BR108" s="3">
        <f>SUM($AE108,$AF108:AP108)-SUM($CH108:CS108)</f>
        <v>-120</v>
      </c>
      <c r="BS108" s="3">
        <f>SUM($AE108,$AF108:AQ108)-SUM($CH108:CT108)</f>
        <v>-130</v>
      </c>
      <c r="BT108" s="3">
        <f>SUM($AE108,$AF108:AR108)-SUM($CH108:CU108)</f>
        <v>-130</v>
      </c>
      <c r="BU108" s="3">
        <f>SUM($AE108,$AF108:AS108)-SUM($CH108:CV108)</f>
        <v>-130</v>
      </c>
      <c r="BV108" s="3">
        <f>SUM($AE108,$AF108:AT108)-SUM($CH108:CW108)</f>
        <v>-130</v>
      </c>
      <c r="BW108" s="3">
        <f>SUM($AE108,$AF108:AU108)-SUM($CH108:CX108)</f>
        <v>-130</v>
      </c>
      <c r="BX108" s="3">
        <f>SUM($AE108,$AF108:AV108)-SUM($CH108:CY108)</f>
        <v>-130</v>
      </c>
      <c r="BY108" s="3">
        <f>SUM($AE108,$AF108:AW108)-SUM($CH108:CZ108)</f>
        <v>-130</v>
      </c>
      <c r="BZ108" s="3">
        <f>SUM($AE108,$AF108:AX108)-SUM($CH108:DA108)</f>
        <v>-130</v>
      </c>
      <c r="CA108" s="3">
        <f>SUM($AE108,$AF108:AY108)-SUM($CH108:DB108)</f>
        <v>-130</v>
      </c>
      <c r="CB108" s="3">
        <f>SUM($AE108,$AF108:AZ108)-SUM($CH108:DC108)</f>
        <v>-130</v>
      </c>
      <c r="CC108" s="3">
        <f>SUM($AE108,$AF108:BA108)-SUM($CH108:DD108)</f>
        <v>-130</v>
      </c>
      <c r="CI108" s="3">
        <f t="array" ref="CI108">SUMPRODUCT($J108:$U108,TRANSPOSE(CI$3:CI$14))</f>
        <v>0</v>
      </c>
      <c r="CJ108" s="3">
        <f t="array" ref="CJ108">SUMPRODUCT($J108:$U108,TRANSPOSE(CJ$3:CJ$14))</f>
        <v>0</v>
      </c>
      <c r="CK108" s="3">
        <f t="array" ref="CK108">SUMPRODUCT($J108:$U108,TRANSPOSE(CK$3:CK$14))</f>
        <v>0</v>
      </c>
      <c r="CL108" s="3">
        <f t="array" ref="CL108">SUMPRODUCT($J108:$U108,TRANSPOSE(CL$3:CL$14))</f>
        <v>0</v>
      </c>
      <c r="CM108" s="3">
        <f t="array" ref="CM108">SUMPRODUCT($J108:$U108,TRANSPOSE(CM$3:CM$14))</f>
        <v>10</v>
      </c>
      <c r="CN108" s="3">
        <f t="array" ref="CN108">SUMPRODUCT($J108:$U108,TRANSPOSE(CN$3:CN$14))</f>
        <v>15</v>
      </c>
      <c r="CO108" s="3">
        <f t="array" ref="CO108">SUMPRODUCT($J108:$U108,TRANSPOSE(CO$3:CO$14))</f>
        <v>15</v>
      </c>
      <c r="CP108" s="3">
        <f t="array" ref="CP108">SUMPRODUCT($J108:$U108,TRANSPOSE(CP$3:CP$14))</f>
        <v>20</v>
      </c>
      <c r="CQ108" s="3">
        <f t="array" ref="CQ108">SUMPRODUCT($J108:$U108,TRANSPOSE(CQ$3:CQ$14))</f>
        <v>20</v>
      </c>
      <c r="CR108" s="3">
        <f t="array" ref="CR108">SUMPRODUCT($J108:$U108,TRANSPOSE(CR$3:CR$14))</f>
        <v>20</v>
      </c>
      <c r="CS108" s="3">
        <f t="array" ref="CS108">SUMPRODUCT($J108:$U108,TRANSPOSE(CS$3:CS$14))</f>
        <v>20</v>
      </c>
      <c r="CT108" s="3">
        <f t="array" ref="CT108">SUMPRODUCT($J108:$U108,TRANSPOSE(CT$3:CT$14))</f>
        <v>10</v>
      </c>
      <c r="CU108" s="3">
        <f t="array" ref="CU108">SUMPRODUCT($J108:$U108,TRANSPOSE(CU$3:CU$14))</f>
        <v>0</v>
      </c>
      <c r="CV108" s="3">
        <f t="array" ref="CV108">SUMPRODUCT($J108:$U108,TRANSPOSE(CV$3:CV$14))</f>
        <v>0</v>
      </c>
      <c r="CW108" s="3">
        <f t="array" ref="CW108">SUMPRODUCT($J108:$U108,TRANSPOSE(CW$3:CW$14))</f>
        <v>0</v>
      </c>
      <c r="CX108" s="3">
        <f t="array" ref="CX108">SUMPRODUCT($J108:$U108,TRANSPOSE(CX$3:CX$14))</f>
        <v>0</v>
      </c>
      <c r="CY108" s="3">
        <f t="array" ref="CY108">SUMPRODUCT($J108:$U108,TRANSPOSE(CY$3:CY$14))</f>
        <v>0</v>
      </c>
      <c r="CZ108" s="3">
        <f t="array" ref="CZ108">SUMPRODUCT($J108:$U108,TRANSPOSE(CZ$3:CZ$14))</f>
        <v>0</v>
      </c>
      <c r="DA108" s="3">
        <f t="array" ref="DA108">SUMPRODUCT($J108:$U108,TRANSPOSE(DA$3:DA$14))</f>
        <v>0</v>
      </c>
      <c r="DB108" s="3">
        <f t="array" ref="DB108">SUMPRODUCT($J108:$U108,TRANSPOSE(DB$3:DB$14))</f>
        <v>0</v>
      </c>
      <c r="DC108" s="3">
        <f t="array" ref="DC108">SUMPRODUCT($J108:$U108,TRANSPOSE(DC$3:DC$14))</f>
        <v>0</v>
      </c>
      <c r="DD108" s="3">
        <f t="array" ref="DD108">SUMPRODUCT($J108:$U108,TRANSPOSE(DD$3:DD$14))</f>
        <v>0</v>
      </c>
      <c r="DE108" s="3">
        <f t="array" ref="DE108">SUMPRODUCT($J108:$U108,TRANSPOSE(DE$3:DE$14))</f>
        <v>0</v>
      </c>
    </row>
    <row r="109" spans="1:109" ht="13.5" thickBot="1" x14ac:dyDescent="0.25">
      <c r="A109" s="3">
        <v>253</v>
      </c>
      <c r="B109" s="9" t="s">
        <v>552</v>
      </c>
      <c r="C109" s="3" t="s">
        <v>16</v>
      </c>
      <c r="D109" s="3">
        <v>423741033</v>
      </c>
      <c r="F109" s="3" t="s">
        <v>553</v>
      </c>
      <c r="G109" s="3" t="s">
        <v>14</v>
      </c>
      <c r="H109" s="3">
        <v>1</v>
      </c>
      <c r="I109" s="3">
        <v>1</v>
      </c>
      <c r="J109" s="3">
        <v>1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f t="shared" si="40"/>
        <v>1</v>
      </c>
      <c r="W109" s="3">
        <f t="shared" si="41"/>
        <v>130</v>
      </c>
      <c r="X109" s="6" t="s">
        <v>554</v>
      </c>
      <c r="Y109" s="3">
        <v>219.44</v>
      </c>
      <c r="Z109" s="3" t="s">
        <v>555</v>
      </c>
      <c r="AA109" s="3" t="s">
        <v>556</v>
      </c>
      <c r="AB109" s="3" t="s">
        <v>557</v>
      </c>
      <c r="AC109" s="3" t="s">
        <v>558</v>
      </c>
      <c r="BJ109" s="3">
        <f>SUM($AE109,$AF109:AH109)-SUM($CH109:CK109)</f>
        <v>0</v>
      </c>
      <c r="BK109" s="3">
        <f>SUM($AE109,$AF109:AI109)-SUM($CH109:CL109)</f>
        <v>0</v>
      </c>
      <c r="BL109" s="3">
        <f>SUM($AE109,$AF109:AJ109)-SUM($CH109:CM109)</f>
        <v>-10</v>
      </c>
      <c r="BM109" s="3">
        <f>SUM($AE109,$AF109:AK109)-SUM($CH109:CN109)</f>
        <v>-25</v>
      </c>
      <c r="BN109" s="3">
        <f>SUM($AE109,$AF109:AL109)-SUM($CH109:CO109)</f>
        <v>-40</v>
      </c>
      <c r="BO109" s="3">
        <f>SUM($AE109,$AF109:AM109)-SUM($CH109:CP109)</f>
        <v>-60</v>
      </c>
      <c r="BP109" s="3">
        <f>SUM($AE109,$AF109:AN109)-SUM($CH109:CQ109)</f>
        <v>-80</v>
      </c>
      <c r="BQ109" s="3">
        <f>SUM($AE109,$AF109:AO109)-SUM($CH109:CR109)</f>
        <v>-100</v>
      </c>
      <c r="BR109" s="3">
        <f>SUM($AE109,$AF109:AP109)-SUM($CH109:CS109)</f>
        <v>-120</v>
      </c>
      <c r="BS109" s="3">
        <f>SUM($AE109,$AF109:AQ109)-SUM($CH109:CT109)</f>
        <v>-130</v>
      </c>
      <c r="BT109" s="3">
        <f>SUM($AE109,$AF109:AR109)-SUM($CH109:CU109)</f>
        <v>-130</v>
      </c>
      <c r="BU109" s="3">
        <f>SUM($AE109,$AF109:AS109)-SUM($CH109:CV109)</f>
        <v>-130</v>
      </c>
      <c r="BV109" s="3">
        <f>SUM($AE109,$AF109:AT109)-SUM($CH109:CW109)</f>
        <v>-130</v>
      </c>
      <c r="BW109" s="3">
        <f>SUM($AE109,$AF109:AU109)-SUM($CH109:CX109)</f>
        <v>-130</v>
      </c>
      <c r="BX109" s="3">
        <f>SUM($AE109,$AF109:AV109)-SUM($CH109:CY109)</f>
        <v>-130</v>
      </c>
      <c r="BY109" s="3">
        <f>SUM($AE109,$AF109:AW109)-SUM($CH109:CZ109)</f>
        <v>-130</v>
      </c>
      <c r="BZ109" s="3">
        <f>SUM($AE109,$AF109:AX109)-SUM($CH109:DA109)</f>
        <v>-130</v>
      </c>
      <c r="CA109" s="3">
        <f>SUM($AE109,$AF109:AY109)-SUM($CH109:DB109)</f>
        <v>-130</v>
      </c>
      <c r="CB109" s="3">
        <f>SUM($AE109,$AF109:AZ109)-SUM($CH109:DC109)</f>
        <v>-130</v>
      </c>
      <c r="CC109" s="3">
        <f>SUM($AE109,$AF109:BA109)-SUM($CH109:DD109)</f>
        <v>-130</v>
      </c>
      <c r="CI109" s="3">
        <f t="array" ref="CI109">SUMPRODUCT($J109:$U109,TRANSPOSE(CI$3:CI$14))</f>
        <v>0</v>
      </c>
      <c r="CJ109" s="3">
        <f t="array" ref="CJ109">SUMPRODUCT($J109:$U109,TRANSPOSE(CJ$3:CJ$14))</f>
        <v>0</v>
      </c>
      <c r="CK109" s="3">
        <f t="array" ref="CK109">SUMPRODUCT($J109:$U109,TRANSPOSE(CK$3:CK$14))</f>
        <v>0</v>
      </c>
      <c r="CL109" s="3">
        <f t="array" ref="CL109">SUMPRODUCT($J109:$U109,TRANSPOSE(CL$3:CL$14))</f>
        <v>0</v>
      </c>
      <c r="CM109" s="3">
        <f t="array" ref="CM109">SUMPRODUCT($J109:$U109,TRANSPOSE(CM$3:CM$14))</f>
        <v>10</v>
      </c>
      <c r="CN109" s="3">
        <f t="array" ref="CN109">SUMPRODUCT($J109:$U109,TRANSPOSE(CN$3:CN$14))</f>
        <v>15</v>
      </c>
      <c r="CO109" s="3">
        <f t="array" ref="CO109">SUMPRODUCT($J109:$U109,TRANSPOSE(CO$3:CO$14))</f>
        <v>15</v>
      </c>
      <c r="CP109" s="3">
        <f t="array" ref="CP109">SUMPRODUCT($J109:$U109,TRANSPOSE(CP$3:CP$14))</f>
        <v>20</v>
      </c>
      <c r="CQ109" s="3">
        <f t="array" ref="CQ109">SUMPRODUCT($J109:$U109,TRANSPOSE(CQ$3:CQ$14))</f>
        <v>20</v>
      </c>
      <c r="CR109" s="3">
        <f t="array" ref="CR109">SUMPRODUCT($J109:$U109,TRANSPOSE(CR$3:CR$14))</f>
        <v>20</v>
      </c>
      <c r="CS109" s="3">
        <f t="array" ref="CS109">SUMPRODUCT($J109:$U109,TRANSPOSE(CS$3:CS$14))</f>
        <v>20</v>
      </c>
      <c r="CT109" s="3">
        <f t="array" ref="CT109">SUMPRODUCT($J109:$U109,TRANSPOSE(CT$3:CT$14))</f>
        <v>10</v>
      </c>
      <c r="CU109" s="3">
        <f t="array" ref="CU109">SUMPRODUCT($J109:$U109,TRANSPOSE(CU$3:CU$14))</f>
        <v>0</v>
      </c>
      <c r="CV109" s="3">
        <f t="array" ref="CV109">SUMPRODUCT($J109:$U109,TRANSPOSE(CV$3:CV$14))</f>
        <v>0</v>
      </c>
      <c r="CW109" s="3">
        <f t="array" ref="CW109">SUMPRODUCT($J109:$U109,TRANSPOSE(CW$3:CW$14))</f>
        <v>0</v>
      </c>
      <c r="CX109" s="3">
        <f t="array" ref="CX109">SUMPRODUCT($J109:$U109,TRANSPOSE(CX$3:CX$14))</f>
        <v>0</v>
      </c>
      <c r="CY109" s="3">
        <f t="array" ref="CY109">SUMPRODUCT($J109:$U109,TRANSPOSE(CY$3:CY$14))</f>
        <v>0</v>
      </c>
      <c r="CZ109" s="3">
        <f t="array" ref="CZ109">SUMPRODUCT($J109:$U109,TRANSPOSE(CZ$3:CZ$14))</f>
        <v>0</v>
      </c>
      <c r="DA109" s="3">
        <f t="array" ref="DA109">SUMPRODUCT($J109:$U109,TRANSPOSE(DA$3:DA$14))</f>
        <v>0</v>
      </c>
      <c r="DB109" s="3">
        <f t="array" ref="DB109">SUMPRODUCT($J109:$U109,TRANSPOSE(DB$3:DB$14))</f>
        <v>0</v>
      </c>
      <c r="DC109" s="3">
        <f t="array" ref="DC109">SUMPRODUCT($J109:$U109,TRANSPOSE(DC$3:DC$14))</f>
        <v>0</v>
      </c>
      <c r="DD109" s="3">
        <f t="array" ref="DD109">SUMPRODUCT($J109:$U109,TRANSPOSE(DD$3:DD$14))</f>
        <v>0</v>
      </c>
      <c r="DE109" s="3">
        <f t="array" ref="DE109">SUMPRODUCT($J109:$U109,TRANSPOSE(DE$3:DE$14))</f>
        <v>0</v>
      </c>
    </row>
    <row r="110" spans="1:109" ht="13.5" thickBot="1" x14ac:dyDescent="0.25">
      <c r="A110" s="3">
        <v>258</v>
      </c>
      <c r="B110" s="9" t="s">
        <v>81</v>
      </c>
      <c r="C110" s="3" t="s">
        <v>16</v>
      </c>
      <c r="D110" s="3">
        <v>732602347</v>
      </c>
      <c r="E110" s="3" t="s">
        <v>82</v>
      </c>
      <c r="F110" s="3" t="s">
        <v>83</v>
      </c>
      <c r="G110" s="3" t="s">
        <v>28</v>
      </c>
      <c r="H110" s="3">
        <v>2</v>
      </c>
      <c r="I110" s="3" t="s">
        <v>559</v>
      </c>
      <c r="J110" s="3">
        <v>0.05</v>
      </c>
      <c r="K110" s="3">
        <v>0.05</v>
      </c>
      <c r="L110" s="3">
        <v>0</v>
      </c>
      <c r="M110" s="3">
        <v>0</v>
      </c>
      <c r="N110" s="3">
        <v>0.05</v>
      </c>
      <c r="O110" s="3">
        <v>0</v>
      </c>
      <c r="P110" s="3">
        <v>0</v>
      </c>
      <c r="Q110" s="3">
        <v>0</v>
      </c>
      <c r="R110" s="3">
        <v>0.05</v>
      </c>
      <c r="S110" s="3">
        <v>0</v>
      </c>
      <c r="T110" s="3">
        <v>0</v>
      </c>
      <c r="U110" s="3">
        <v>0.05</v>
      </c>
      <c r="V110" s="3">
        <f t="shared" si="40"/>
        <v>0.25</v>
      </c>
      <c r="W110" s="3">
        <f t="shared" si="41"/>
        <v>33.25</v>
      </c>
      <c r="X110" s="6" t="s">
        <v>266</v>
      </c>
      <c r="Y110" s="3">
        <v>13</v>
      </c>
      <c r="Z110" s="3" t="s">
        <v>267</v>
      </c>
      <c r="BJ110" s="3">
        <f>SUM($AE110,$AF110:AH110)-SUM($CH110:CK110)</f>
        <v>-0.5</v>
      </c>
      <c r="BK110" s="3">
        <f>SUM($AE110,$AF110:AI110)-SUM($CH110:CL110)</f>
        <v>-2.75</v>
      </c>
      <c r="BL110" s="3">
        <f>SUM($AE110,$AF110:AJ110)-SUM($CH110:CM110)</f>
        <v>-6.5</v>
      </c>
      <c r="BM110" s="3">
        <f>SUM($AE110,$AF110:AK110)-SUM($CH110:CN110)</f>
        <v>-10.5</v>
      </c>
      <c r="BN110" s="3">
        <f>SUM($AE110,$AF110:AL110)-SUM($CH110:CO110)</f>
        <v>-15.25</v>
      </c>
      <c r="BO110" s="3">
        <f>SUM($AE110,$AF110:AM110)-SUM($CH110:CP110)</f>
        <v>-20.25</v>
      </c>
      <c r="BP110" s="3">
        <f>SUM($AE110,$AF110:AN110)-SUM($CH110:CQ110)</f>
        <v>-25.25</v>
      </c>
      <c r="BQ110" s="3">
        <f>SUM($AE110,$AF110:AO110)-SUM($CH110:CR110)</f>
        <v>-30.25</v>
      </c>
      <c r="BR110" s="3">
        <f>SUM($AE110,$AF110:AP110)-SUM($CH110:CS110)</f>
        <v>-32.75</v>
      </c>
      <c r="BS110" s="3">
        <f>SUM($AE110,$AF110:AQ110)-SUM($CH110:CT110)</f>
        <v>-33.25</v>
      </c>
      <c r="BT110" s="3">
        <f>SUM($AE110,$AF110:AR110)-SUM($CH110:CU110)</f>
        <v>-33.25</v>
      </c>
      <c r="BU110" s="3">
        <f>SUM($AE110,$AF110:AS110)-SUM($CH110:CV110)</f>
        <v>-33.25</v>
      </c>
      <c r="BV110" s="3">
        <f>SUM($AE110,$AF110:AT110)-SUM($CH110:CW110)</f>
        <v>-33.25</v>
      </c>
      <c r="BW110" s="3">
        <f>SUM($AE110,$AF110:AU110)-SUM($CH110:CX110)</f>
        <v>-33.25</v>
      </c>
      <c r="BX110" s="3">
        <f>SUM($AE110,$AF110:AV110)-SUM($CH110:CY110)</f>
        <v>-33.25</v>
      </c>
      <c r="BY110" s="3">
        <f>SUM($AE110,$AF110:AW110)-SUM($CH110:CZ110)</f>
        <v>-33.25</v>
      </c>
      <c r="BZ110" s="3">
        <f>SUM($AE110,$AF110:AX110)-SUM($CH110:DA110)</f>
        <v>-33.25</v>
      </c>
      <c r="CA110" s="3">
        <f>SUM($AE110,$AF110:AY110)-SUM($CH110:DB110)</f>
        <v>-33.25</v>
      </c>
      <c r="CB110" s="3">
        <f>SUM($AE110,$AF110:AZ110)-SUM($CH110:DC110)</f>
        <v>-33.25</v>
      </c>
      <c r="CC110" s="3">
        <f>SUM($AE110,$AF110:BA110)-SUM($CH110:DD110)</f>
        <v>-33.25</v>
      </c>
      <c r="CI110" s="3">
        <f t="array" ref="CI110">SUMPRODUCT($J110:$U110,TRANSPOSE(CI$3:CI$14))</f>
        <v>0</v>
      </c>
      <c r="CJ110" s="3">
        <f t="array" ref="CJ110">SUMPRODUCT($J110:$U110,TRANSPOSE(CJ$3:CJ$14))</f>
        <v>0</v>
      </c>
      <c r="CK110" s="3">
        <f t="array" ref="CK110">SUMPRODUCT($J110:$U110,TRANSPOSE(CK$3:CK$14))</f>
        <v>0.5</v>
      </c>
      <c r="CL110" s="3">
        <f t="array" ref="CL110">SUMPRODUCT($J110:$U110,TRANSPOSE(CL$3:CL$14))</f>
        <v>2.25</v>
      </c>
      <c r="CM110" s="3">
        <f t="array" ref="CM110">SUMPRODUCT($J110:$U110,TRANSPOSE(CM$3:CM$14))</f>
        <v>3.75</v>
      </c>
      <c r="CN110" s="3">
        <f t="array" ref="CN110">SUMPRODUCT($J110:$U110,TRANSPOSE(CN$3:CN$14))</f>
        <v>4</v>
      </c>
      <c r="CO110" s="3">
        <f t="array" ref="CO110">SUMPRODUCT($J110:$U110,TRANSPOSE(CO$3:CO$14))</f>
        <v>4.75</v>
      </c>
      <c r="CP110" s="3">
        <f t="array" ref="CP110">SUMPRODUCT($J110:$U110,TRANSPOSE(CP$3:CP$14))</f>
        <v>5</v>
      </c>
      <c r="CQ110" s="3">
        <f t="array" ref="CQ110">SUMPRODUCT($J110:$U110,TRANSPOSE(CQ$3:CQ$14))</f>
        <v>5</v>
      </c>
      <c r="CR110" s="3">
        <f t="array" ref="CR110">SUMPRODUCT($J110:$U110,TRANSPOSE(CR$3:CR$14))</f>
        <v>5</v>
      </c>
      <c r="CS110" s="3">
        <f t="array" ref="CS110">SUMPRODUCT($J110:$U110,TRANSPOSE(CS$3:CS$14))</f>
        <v>2.5</v>
      </c>
      <c r="CT110" s="3">
        <f t="array" ref="CT110">SUMPRODUCT($J110:$U110,TRANSPOSE(CT$3:CT$14))</f>
        <v>0.5</v>
      </c>
      <c r="CU110" s="3">
        <f t="array" ref="CU110">SUMPRODUCT($J110:$U110,TRANSPOSE(CU$3:CU$14))</f>
        <v>0</v>
      </c>
      <c r="CV110" s="3">
        <f t="array" ref="CV110">SUMPRODUCT($J110:$U110,TRANSPOSE(CV$3:CV$14))</f>
        <v>0</v>
      </c>
      <c r="CW110" s="3">
        <f t="array" ref="CW110">SUMPRODUCT($J110:$U110,TRANSPOSE(CW$3:CW$14))</f>
        <v>0</v>
      </c>
      <c r="CX110" s="3">
        <f t="array" ref="CX110">SUMPRODUCT($J110:$U110,TRANSPOSE(CX$3:CX$14))</f>
        <v>0</v>
      </c>
      <c r="CY110" s="3">
        <f t="array" ref="CY110">SUMPRODUCT($J110:$U110,TRANSPOSE(CY$3:CY$14))</f>
        <v>0</v>
      </c>
      <c r="CZ110" s="3">
        <f t="array" ref="CZ110">SUMPRODUCT($J110:$U110,TRANSPOSE(CZ$3:CZ$14))</f>
        <v>0</v>
      </c>
      <c r="DA110" s="3">
        <f t="array" ref="DA110">SUMPRODUCT($J110:$U110,TRANSPOSE(DA$3:DA$14))</f>
        <v>0</v>
      </c>
      <c r="DB110" s="3">
        <f t="array" ref="DB110">SUMPRODUCT($J110:$U110,TRANSPOSE(DB$3:DB$14))</f>
        <v>0</v>
      </c>
      <c r="DC110" s="3">
        <f t="array" ref="DC110">SUMPRODUCT($J110:$U110,TRANSPOSE(DC$3:DC$14))</f>
        <v>0</v>
      </c>
      <c r="DD110" s="3">
        <f t="array" ref="DD110">SUMPRODUCT($J110:$U110,TRANSPOSE(DD$3:DD$14))</f>
        <v>0</v>
      </c>
      <c r="DE110" s="3">
        <f t="array" ref="DE110">SUMPRODUCT($J110:$U110,TRANSPOSE(DE$3:DE$14))</f>
        <v>0</v>
      </c>
    </row>
    <row r="111" spans="1:109" ht="13.5" thickBot="1" x14ac:dyDescent="0.25">
      <c r="A111" s="3">
        <v>291</v>
      </c>
      <c r="B111" s="9" t="s">
        <v>560</v>
      </c>
      <c r="C111" s="3" t="s">
        <v>16</v>
      </c>
      <c r="D111" s="3">
        <v>724201397</v>
      </c>
      <c r="F111" s="3" t="s">
        <v>561</v>
      </c>
      <c r="G111" s="3" t="s">
        <v>28</v>
      </c>
      <c r="H111" s="3">
        <v>2</v>
      </c>
      <c r="I111" s="3" t="s">
        <v>559</v>
      </c>
      <c r="J111" s="3">
        <v>0.05</v>
      </c>
      <c r="K111" s="3">
        <v>0.05</v>
      </c>
      <c r="L111" s="3">
        <v>0</v>
      </c>
      <c r="M111" s="3">
        <v>0</v>
      </c>
      <c r="N111" s="3">
        <v>0.05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f t="shared" ref="V111:V142" si="42">SUM(J111:U111)</f>
        <v>0.15000000000000002</v>
      </c>
      <c r="W111" s="3">
        <f t="shared" si="41"/>
        <v>19.5</v>
      </c>
      <c r="X111" s="6" t="s">
        <v>562</v>
      </c>
      <c r="Y111" s="3">
        <v>148.84</v>
      </c>
      <c r="Z111" s="3" t="s">
        <v>563</v>
      </c>
      <c r="BJ111" s="3">
        <f>SUM($AE111,$AF111:AH111)-SUM($CH111:CK111)</f>
        <v>0</v>
      </c>
      <c r="BK111" s="3">
        <f>SUM($AE111,$AF111:AI111)-SUM($CH111:CL111)</f>
        <v>-1</v>
      </c>
      <c r="BL111" s="3">
        <f>SUM($AE111,$AF111:AJ111)-SUM($CH111:CM111)</f>
        <v>-3</v>
      </c>
      <c r="BM111" s="3">
        <f>SUM($AE111,$AF111:AK111)-SUM($CH111:CN111)</f>
        <v>-5.25</v>
      </c>
      <c r="BN111" s="3">
        <f>SUM($AE111,$AF111:AL111)-SUM($CH111:CO111)</f>
        <v>-8</v>
      </c>
      <c r="BO111" s="3">
        <f>SUM($AE111,$AF111:AM111)-SUM($CH111:CP111)</f>
        <v>-11</v>
      </c>
      <c r="BP111" s="3">
        <f>SUM($AE111,$AF111:AN111)-SUM($CH111:CQ111)</f>
        <v>-14</v>
      </c>
      <c r="BQ111" s="3">
        <f>SUM($AE111,$AF111:AO111)-SUM($CH111:CR111)</f>
        <v>-17</v>
      </c>
      <c r="BR111" s="3">
        <f>SUM($AE111,$AF111:AP111)-SUM($CH111:CS111)</f>
        <v>-19</v>
      </c>
      <c r="BS111" s="3">
        <f>SUM($AE111,$AF111:AQ111)-SUM($CH111:CT111)</f>
        <v>-19.5</v>
      </c>
      <c r="BT111" s="3">
        <f>SUM($AE111,$AF111:AR111)-SUM($CH111:CU111)</f>
        <v>-19.5</v>
      </c>
      <c r="BU111" s="3">
        <f>SUM($AE111,$AF111:AS111)-SUM($CH111:CV111)</f>
        <v>-19.5</v>
      </c>
      <c r="BV111" s="3">
        <f>SUM($AE111,$AF111:AT111)-SUM($CH111:CW111)</f>
        <v>-19.5</v>
      </c>
      <c r="BW111" s="3">
        <f>SUM($AE111,$AF111:AU111)-SUM($CH111:CX111)</f>
        <v>-19.5</v>
      </c>
      <c r="BX111" s="3">
        <f>SUM($AE111,$AF111:AV111)-SUM($CH111:CY111)</f>
        <v>-19.5</v>
      </c>
      <c r="BY111" s="3">
        <f>SUM($AE111,$AF111:AW111)-SUM($CH111:CZ111)</f>
        <v>-19.5</v>
      </c>
      <c r="BZ111" s="3">
        <f>SUM($AE111,$AF111:AX111)-SUM($CH111:DA111)</f>
        <v>-19.5</v>
      </c>
      <c r="CA111" s="3">
        <f>SUM($AE111,$AF111:AY111)-SUM($CH111:DB111)</f>
        <v>-19.5</v>
      </c>
      <c r="CB111" s="3">
        <f>SUM($AE111,$AF111:AZ111)-SUM($CH111:DC111)</f>
        <v>-19.5</v>
      </c>
      <c r="CC111" s="3">
        <f>SUM($AE111,$AF111:BA111)-SUM($CH111:DD111)</f>
        <v>-19.5</v>
      </c>
      <c r="CI111" s="3">
        <f t="array" ref="CI111">SUMPRODUCT($J111:$U111,TRANSPOSE(CI$3:CI$14))</f>
        <v>0</v>
      </c>
      <c r="CJ111" s="3">
        <f t="array" ref="CJ111">SUMPRODUCT($J111:$U111,TRANSPOSE(CJ$3:CJ$14))</f>
        <v>0</v>
      </c>
      <c r="CK111" s="3">
        <f t="array" ref="CK111">SUMPRODUCT($J111:$U111,TRANSPOSE(CK$3:CK$14))</f>
        <v>0</v>
      </c>
      <c r="CL111" s="3">
        <f t="array" ref="CL111">SUMPRODUCT($J111:$U111,TRANSPOSE(CL$3:CL$14))</f>
        <v>1</v>
      </c>
      <c r="CM111" s="3">
        <f t="array" ref="CM111">SUMPRODUCT($J111:$U111,TRANSPOSE(CM$3:CM$14))</f>
        <v>2</v>
      </c>
      <c r="CN111" s="3">
        <f t="array" ref="CN111">SUMPRODUCT($J111:$U111,TRANSPOSE(CN$3:CN$14))</f>
        <v>2.25</v>
      </c>
      <c r="CO111" s="3">
        <f t="array" ref="CO111">SUMPRODUCT($J111:$U111,TRANSPOSE(CO$3:CO$14))</f>
        <v>2.75</v>
      </c>
      <c r="CP111" s="3">
        <f t="array" ref="CP111">SUMPRODUCT($J111:$U111,TRANSPOSE(CP$3:CP$14))</f>
        <v>3</v>
      </c>
      <c r="CQ111" s="3">
        <f t="array" ref="CQ111">SUMPRODUCT($J111:$U111,TRANSPOSE(CQ$3:CQ$14))</f>
        <v>3</v>
      </c>
      <c r="CR111" s="3">
        <f t="array" ref="CR111">SUMPRODUCT($J111:$U111,TRANSPOSE(CR$3:CR$14))</f>
        <v>3</v>
      </c>
      <c r="CS111" s="3">
        <f t="array" ref="CS111">SUMPRODUCT($J111:$U111,TRANSPOSE(CS$3:CS$14))</f>
        <v>2</v>
      </c>
      <c r="CT111" s="3">
        <f t="array" ref="CT111">SUMPRODUCT($J111:$U111,TRANSPOSE(CT$3:CT$14))</f>
        <v>0.5</v>
      </c>
      <c r="CU111" s="3">
        <f t="array" ref="CU111">SUMPRODUCT($J111:$U111,TRANSPOSE(CU$3:CU$14))</f>
        <v>0</v>
      </c>
      <c r="CV111" s="3">
        <f t="array" ref="CV111">SUMPRODUCT($J111:$U111,TRANSPOSE(CV$3:CV$14))</f>
        <v>0</v>
      </c>
      <c r="CW111" s="3">
        <f t="array" ref="CW111">SUMPRODUCT($J111:$U111,TRANSPOSE(CW$3:CW$14))</f>
        <v>0</v>
      </c>
      <c r="CX111" s="3">
        <f t="array" ref="CX111">SUMPRODUCT($J111:$U111,TRANSPOSE(CX$3:CX$14))</f>
        <v>0</v>
      </c>
      <c r="CY111" s="3">
        <f t="array" ref="CY111">SUMPRODUCT($J111:$U111,TRANSPOSE(CY$3:CY$14))</f>
        <v>0</v>
      </c>
      <c r="CZ111" s="3">
        <f t="array" ref="CZ111">SUMPRODUCT($J111:$U111,TRANSPOSE(CZ$3:CZ$14))</f>
        <v>0</v>
      </c>
      <c r="DA111" s="3">
        <f t="array" ref="DA111">SUMPRODUCT($J111:$U111,TRANSPOSE(DA$3:DA$14))</f>
        <v>0</v>
      </c>
      <c r="DB111" s="3">
        <f t="array" ref="DB111">SUMPRODUCT($J111:$U111,TRANSPOSE(DB$3:DB$14))</f>
        <v>0</v>
      </c>
      <c r="DC111" s="3">
        <f t="array" ref="DC111">SUMPRODUCT($J111:$U111,TRANSPOSE(DC$3:DC$14))</f>
        <v>0</v>
      </c>
      <c r="DD111" s="3">
        <f t="array" ref="DD111">SUMPRODUCT($J111:$U111,TRANSPOSE(DD$3:DD$14))</f>
        <v>0</v>
      </c>
      <c r="DE111" s="3">
        <f t="array" ref="DE111">SUMPRODUCT($J111:$U111,TRANSPOSE(DE$3:DE$14))</f>
        <v>0</v>
      </c>
    </row>
    <row r="112" spans="1:109" ht="13.5" thickBot="1" x14ac:dyDescent="0.25">
      <c r="A112" s="3">
        <v>294</v>
      </c>
      <c r="B112" s="9" t="s">
        <v>564</v>
      </c>
      <c r="C112" s="3" t="s">
        <v>13</v>
      </c>
      <c r="D112" s="3">
        <v>409759511</v>
      </c>
      <c r="F112" s="3" t="s">
        <v>565</v>
      </c>
      <c r="G112" s="3" t="s">
        <v>14</v>
      </c>
      <c r="H112" s="3">
        <v>1</v>
      </c>
      <c r="I112" s="3">
        <v>4</v>
      </c>
      <c r="J112" s="3">
        <v>0</v>
      </c>
      <c r="K112" s="3">
        <v>2</v>
      </c>
      <c r="L112" s="3">
        <v>0</v>
      </c>
      <c r="M112" s="3">
        <v>0</v>
      </c>
      <c r="N112" s="3">
        <v>2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f t="shared" si="42"/>
        <v>4</v>
      </c>
      <c r="W112" s="3">
        <f t="shared" si="41"/>
        <v>520</v>
      </c>
      <c r="X112" s="8" t="s">
        <v>50</v>
      </c>
      <c r="Z112" s="3" t="s">
        <v>50</v>
      </c>
      <c r="AA112" s="3" t="s">
        <v>50</v>
      </c>
      <c r="AD112" s="3" t="s">
        <v>50</v>
      </c>
      <c r="BJ112" s="3">
        <f>SUM($AE112,$AF112:AH112)-SUM($CH112:CK112)</f>
        <v>0</v>
      </c>
      <c r="BK112" s="3">
        <f>SUM($AE112,$AF112:AI112)-SUM($CH112:CL112)</f>
        <v>-40</v>
      </c>
      <c r="BL112" s="3">
        <f>SUM($AE112,$AF112:AJ112)-SUM($CH112:CM112)</f>
        <v>-100</v>
      </c>
      <c r="BM112" s="3">
        <f>SUM($AE112,$AF112:AK112)-SUM($CH112:CN112)</f>
        <v>-160</v>
      </c>
      <c r="BN112" s="3">
        <f>SUM($AE112,$AF112:AL112)-SUM($CH112:CO112)</f>
        <v>-240</v>
      </c>
      <c r="BO112" s="3">
        <f>SUM($AE112,$AF112:AM112)-SUM($CH112:CP112)</f>
        <v>-320</v>
      </c>
      <c r="BP112" s="3">
        <f>SUM($AE112,$AF112:AN112)-SUM($CH112:CQ112)</f>
        <v>-400</v>
      </c>
      <c r="BQ112" s="3">
        <f>SUM($AE112,$AF112:AO112)-SUM($CH112:CR112)</f>
        <v>-480</v>
      </c>
      <c r="BR112" s="3">
        <f>SUM($AE112,$AF112:AP112)-SUM($CH112:CS112)</f>
        <v>-520</v>
      </c>
      <c r="BS112" s="3">
        <f>SUM($AE112,$AF112:AQ112)-SUM($CH112:CT112)</f>
        <v>-520</v>
      </c>
      <c r="BT112" s="3">
        <f>SUM($AE112,$AF112:AR112)-SUM($CH112:CU112)</f>
        <v>-520</v>
      </c>
      <c r="BU112" s="3">
        <f>SUM($AE112,$AF112:AS112)-SUM($CH112:CV112)</f>
        <v>-520</v>
      </c>
      <c r="BV112" s="3">
        <f>SUM($AE112,$AF112:AT112)-SUM($CH112:CW112)</f>
        <v>-520</v>
      </c>
      <c r="BW112" s="3">
        <f>SUM($AE112,$AF112:AU112)-SUM($CH112:CX112)</f>
        <v>-520</v>
      </c>
      <c r="BX112" s="3">
        <f>SUM($AE112,$AF112:AV112)-SUM($CH112:CY112)</f>
        <v>-520</v>
      </c>
      <c r="BY112" s="3">
        <f>SUM($AE112,$AF112:AW112)-SUM($CH112:CZ112)</f>
        <v>-520</v>
      </c>
      <c r="BZ112" s="3">
        <f>SUM($AE112,$AF112:AX112)-SUM($CH112:DA112)</f>
        <v>-520</v>
      </c>
      <c r="CA112" s="3">
        <f>SUM($AE112,$AF112:AY112)-SUM($CH112:DB112)</f>
        <v>-520</v>
      </c>
      <c r="CB112" s="3">
        <f>SUM($AE112,$AF112:AZ112)-SUM($CH112:DC112)</f>
        <v>-520</v>
      </c>
      <c r="CC112" s="3">
        <f>SUM($AE112,$AF112:BA112)-SUM($CH112:DD112)</f>
        <v>-520</v>
      </c>
      <c r="CI112" s="3">
        <f t="array" ref="CI112">SUMPRODUCT($J112:$U112,TRANSPOSE(CI$3:CI$14))</f>
        <v>0</v>
      </c>
      <c r="CJ112" s="3">
        <f t="array" ref="CJ112">SUMPRODUCT($J112:$U112,TRANSPOSE(CJ$3:CJ$14))</f>
        <v>0</v>
      </c>
      <c r="CK112" s="3">
        <f t="array" ref="CK112">SUMPRODUCT($J112:$U112,TRANSPOSE(CK$3:CK$14))</f>
        <v>0</v>
      </c>
      <c r="CL112" s="3">
        <f t="array" ref="CL112">SUMPRODUCT($J112:$U112,TRANSPOSE(CL$3:CL$14))</f>
        <v>40</v>
      </c>
      <c r="CM112" s="3">
        <f t="array" ref="CM112">SUMPRODUCT($J112:$U112,TRANSPOSE(CM$3:CM$14))</f>
        <v>60</v>
      </c>
      <c r="CN112" s="3">
        <f t="array" ref="CN112">SUMPRODUCT($J112:$U112,TRANSPOSE(CN$3:CN$14))</f>
        <v>60</v>
      </c>
      <c r="CO112" s="3">
        <f t="array" ref="CO112">SUMPRODUCT($J112:$U112,TRANSPOSE(CO$3:CO$14))</f>
        <v>80</v>
      </c>
      <c r="CP112" s="3">
        <f t="array" ref="CP112">SUMPRODUCT($J112:$U112,TRANSPOSE(CP$3:CP$14))</f>
        <v>80</v>
      </c>
      <c r="CQ112" s="3">
        <f t="array" ref="CQ112">SUMPRODUCT($J112:$U112,TRANSPOSE(CQ$3:CQ$14))</f>
        <v>80</v>
      </c>
      <c r="CR112" s="3">
        <f t="array" ref="CR112">SUMPRODUCT($J112:$U112,TRANSPOSE(CR$3:CR$14))</f>
        <v>80</v>
      </c>
      <c r="CS112" s="3">
        <f t="array" ref="CS112">SUMPRODUCT($J112:$U112,TRANSPOSE(CS$3:CS$14))</f>
        <v>40</v>
      </c>
      <c r="CT112" s="3">
        <f t="array" ref="CT112">SUMPRODUCT($J112:$U112,TRANSPOSE(CT$3:CT$14))</f>
        <v>0</v>
      </c>
      <c r="CU112" s="3">
        <f t="array" ref="CU112">SUMPRODUCT($J112:$U112,TRANSPOSE(CU$3:CU$14))</f>
        <v>0</v>
      </c>
      <c r="CV112" s="3">
        <f t="array" ref="CV112">SUMPRODUCT($J112:$U112,TRANSPOSE(CV$3:CV$14))</f>
        <v>0</v>
      </c>
      <c r="CW112" s="3">
        <f t="array" ref="CW112">SUMPRODUCT($J112:$U112,TRANSPOSE(CW$3:CW$14))</f>
        <v>0</v>
      </c>
      <c r="CX112" s="3">
        <f t="array" ref="CX112">SUMPRODUCT($J112:$U112,TRANSPOSE(CX$3:CX$14))</f>
        <v>0</v>
      </c>
      <c r="CY112" s="3">
        <f t="array" ref="CY112">SUMPRODUCT($J112:$U112,TRANSPOSE(CY$3:CY$14))</f>
        <v>0</v>
      </c>
      <c r="CZ112" s="3">
        <f t="array" ref="CZ112">SUMPRODUCT($J112:$U112,TRANSPOSE(CZ$3:CZ$14))</f>
        <v>0</v>
      </c>
      <c r="DA112" s="3">
        <f t="array" ref="DA112">SUMPRODUCT($J112:$U112,TRANSPOSE(DA$3:DA$14))</f>
        <v>0</v>
      </c>
      <c r="DB112" s="3">
        <f t="array" ref="DB112">SUMPRODUCT($J112:$U112,TRANSPOSE(DB$3:DB$14))</f>
        <v>0</v>
      </c>
      <c r="DC112" s="3">
        <f t="array" ref="DC112">SUMPRODUCT($J112:$U112,TRANSPOSE(DC$3:DC$14))</f>
        <v>0</v>
      </c>
      <c r="DD112" s="3">
        <f t="array" ref="DD112">SUMPRODUCT($J112:$U112,TRANSPOSE(DD$3:DD$14))</f>
        <v>0</v>
      </c>
      <c r="DE112" s="3">
        <f t="array" ref="DE112">SUMPRODUCT($J112:$U112,TRANSPOSE(DE$3:DE$14))</f>
        <v>0</v>
      </c>
    </row>
    <row r="113" spans="1:109" ht="13.5" thickBot="1" x14ac:dyDescent="0.25">
      <c r="A113" s="3">
        <v>297</v>
      </c>
      <c r="B113" s="9" t="s">
        <v>348</v>
      </c>
      <c r="C113" s="3" t="s">
        <v>13</v>
      </c>
      <c r="D113" s="3">
        <v>410790306</v>
      </c>
      <c r="F113" s="3" t="s">
        <v>566</v>
      </c>
      <c r="G113" s="3" t="s">
        <v>14</v>
      </c>
      <c r="H113" s="3">
        <v>1</v>
      </c>
      <c r="I113" s="3">
        <v>1</v>
      </c>
      <c r="J113" s="3">
        <v>1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f t="shared" si="42"/>
        <v>1</v>
      </c>
      <c r="W113" s="3">
        <f t="shared" si="41"/>
        <v>130</v>
      </c>
      <c r="X113" s="8" t="s">
        <v>15</v>
      </c>
      <c r="Z113" s="3" t="s">
        <v>15</v>
      </c>
      <c r="BJ113" s="3">
        <f>SUM($AE113,$AF113:AH113)-SUM($CH113:CK113)</f>
        <v>0</v>
      </c>
      <c r="BK113" s="3">
        <f>SUM($AE113,$AF113:AI113)-SUM($CH113:CL113)</f>
        <v>0</v>
      </c>
      <c r="BL113" s="3">
        <f>SUM($AE113,$AF113:AJ113)-SUM($CH113:CM113)</f>
        <v>-10</v>
      </c>
      <c r="BM113" s="3">
        <f>SUM($AE113,$AF113:AK113)-SUM($CH113:CN113)</f>
        <v>-25</v>
      </c>
      <c r="BN113" s="3">
        <f>SUM($AE113,$AF113:AL113)-SUM($CH113:CO113)</f>
        <v>-40</v>
      </c>
      <c r="BO113" s="3">
        <f>SUM($AE113,$AF113:AM113)-SUM($CH113:CP113)</f>
        <v>-60</v>
      </c>
      <c r="BP113" s="3">
        <f>SUM($AE113,$AF113:AN113)-SUM($CH113:CQ113)</f>
        <v>-80</v>
      </c>
      <c r="BQ113" s="3">
        <f>SUM($AE113,$AF113:AO113)-SUM($CH113:CR113)</f>
        <v>-100</v>
      </c>
      <c r="BR113" s="3">
        <f>SUM($AE113,$AF113:AP113)-SUM($CH113:CS113)</f>
        <v>-120</v>
      </c>
      <c r="BS113" s="3">
        <f>SUM($AE113,$AF113:AQ113)-SUM($CH113:CT113)</f>
        <v>-130</v>
      </c>
      <c r="BT113" s="3">
        <f>SUM($AE113,$AF113:AR113)-SUM($CH113:CU113)</f>
        <v>-130</v>
      </c>
      <c r="BU113" s="3">
        <f>SUM($AE113,$AF113:AS113)-SUM($CH113:CV113)</f>
        <v>-130</v>
      </c>
      <c r="BV113" s="3">
        <f>SUM($AE113,$AF113:AT113)-SUM($CH113:CW113)</f>
        <v>-130</v>
      </c>
      <c r="BW113" s="3">
        <f>SUM($AE113,$AF113:AU113)-SUM($CH113:CX113)</f>
        <v>-130</v>
      </c>
      <c r="BX113" s="3">
        <f>SUM($AE113,$AF113:AV113)-SUM($CH113:CY113)</f>
        <v>-130</v>
      </c>
      <c r="BY113" s="3">
        <f>SUM($AE113,$AF113:AW113)-SUM($CH113:CZ113)</f>
        <v>-130</v>
      </c>
      <c r="BZ113" s="3">
        <f>SUM($AE113,$AF113:AX113)-SUM($CH113:DA113)</f>
        <v>-130</v>
      </c>
      <c r="CA113" s="3">
        <f>SUM($AE113,$AF113:AY113)-SUM($CH113:DB113)</f>
        <v>-130</v>
      </c>
      <c r="CB113" s="3">
        <f>SUM($AE113,$AF113:AZ113)-SUM($CH113:DC113)</f>
        <v>-130</v>
      </c>
      <c r="CC113" s="3">
        <f>SUM($AE113,$AF113:BA113)-SUM($CH113:DD113)</f>
        <v>-130</v>
      </c>
      <c r="CI113" s="3">
        <f t="array" ref="CI113">SUMPRODUCT($J113:$U113,TRANSPOSE(CI$3:CI$14))</f>
        <v>0</v>
      </c>
      <c r="CJ113" s="3">
        <f t="array" ref="CJ113">SUMPRODUCT($J113:$U113,TRANSPOSE(CJ$3:CJ$14))</f>
        <v>0</v>
      </c>
      <c r="CK113" s="3">
        <f t="array" ref="CK113">SUMPRODUCT($J113:$U113,TRANSPOSE(CK$3:CK$14))</f>
        <v>0</v>
      </c>
      <c r="CL113" s="3">
        <f t="array" ref="CL113">SUMPRODUCT($J113:$U113,TRANSPOSE(CL$3:CL$14))</f>
        <v>0</v>
      </c>
      <c r="CM113" s="3">
        <f t="array" ref="CM113">SUMPRODUCT($J113:$U113,TRANSPOSE(CM$3:CM$14))</f>
        <v>10</v>
      </c>
      <c r="CN113" s="3">
        <f t="array" ref="CN113">SUMPRODUCT($J113:$U113,TRANSPOSE(CN$3:CN$14))</f>
        <v>15</v>
      </c>
      <c r="CO113" s="3">
        <f t="array" ref="CO113">SUMPRODUCT($J113:$U113,TRANSPOSE(CO$3:CO$14))</f>
        <v>15</v>
      </c>
      <c r="CP113" s="3">
        <f t="array" ref="CP113">SUMPRODUCT($J113:$U113,TRANSPOSE(CP$3:CP$14))</f>
        <v>20</v>
      </c>
      <c r="CQ113" s="3">
        <f t="array" ref="CQ113">SUMPRODUCT($J113:$U113,TRANSPOSE(CQ$3:CQ$14))</f>
        <v>20</v>
      </c>
      <c r="CR113" s="3">
        <f t="array" ref="CR113">SUMPRODUCT($J113:$U113,TRANSPOSE(CR$3:CR$14))</f>
        <v>20</v>
      </c>
      <c r="CS113" s="3">
        <f t="array" ref="CS113">SUMPRODUCT($J113:$U113,TRANSPOSE(CS$3:CS$14))</f>
        <v>20</v>
      </c>
      <c r="CT113" s="3">
        <f t="array" ref="CT113">SUMPRODUCT($J113:$U113,TRANSPOSE(CT$3:CT$14))</f>
        <v>10</v>
      </c>
      <c r="CU113" s="3">
        <f t="array" ref="CU113">SUMPRODUCT($J113:$U113,TRANSPOSE(CU$3:CU$14))</f>
        <v>0</v>
      </c>
      <c r="CV113" s="3">
        <f t="array" ref="CV113">SUMPRODUCT($J113:$U113,TRANSPOSE(CV$3:CV$14))</f>
        <v>0</v>
      </c>
      <c r="CW113" s="3">
        <f t="array" ref="CW113">SUMPRODUCT($J113:$U113,TRANSPOSE(CW$3:CW$14))</f>
        <v>0</v>
      </c>
      <c r="CX113" s="3">
        <f t="array" ref="CX113">SUMPRODUCT($J113:$U113,TRANSPOSE(CX$3:CX$14))</f>
        <v>0</v>
      </c>
      <c r="CY113" s="3">
        <f t="array" ref="CY113">SUMPRODUCT($J113:$U113,TRANSPOSE(CY$3:CY$14))</f>
        <v>0</v>
      </c>
      <c r="CZ113" s="3">
        <f t="array" ref="CZ113">SUMPRODUCT($J113:$U113,TRANSPOSE(CZ$3:CZ$14))</f>
        <v>0</v>
      </c>
      <c r="DA113" s="3">
        <f t="array" ref="DA113">SUMPRODUCT($J113:$U113,TRANSPOSE(DA$3:DA$14))</f>
        <v>0</v>
      </c>
      <c r="DB113" s="3">
        <f t="array" ref="DB113">SUMPRODUCT($J113:$U113,TRANSPOSE(DB$3:DB$14))</f>
        <v>0</v>
      </c>
      <c r="DC113" s="3">
        <f t="array" ref="DC113">SUMPRODUCT($J113:$U113,TRANSPOSE(DC$3:DC$14))</f>
        <v>0</v>
      </c>
      <c r="DD113" s="3">
        <f t="array" ref="DD113">SUMPRODUCT($J113:$U113,TRANSPOSE(DD$3:DD$14))</f>
        <v>0</v>
      </c>
      <c r="DE113" s="3">
        <f t="array" ref="DE113">SUMPRODUCT($J113:$U113,TRANSPOSE(DE$3:DE$14))</f>
        <v>0</v>
      </c>
    </row>
    <row r="114" spans="1:109" ht="13.5" thickBot="1" x14ac:dyDescent="0.25">
      <c r="A114" s="3">
        <v>298</v>
      </c>
      <c r="B114" s="9" t="s">
        <v>567</v>
      </c>
      <c r="C114" s="3" t="s">
        <v>13</v>
      </c>
      <c r="D114" s="3">
        <v>410398267</v>
      </c>
      <c r="F114" s="3" t="s">
        <v>568</v>
      </c>
      <c r="G114" s="3" t="s">
        <v>14</v>
      </c>
      <c r="H114" s="3">
        <v>1</v>
      </c>
      <c r="I114" s="3">
        <v>1</v>
      </c>
      <c r="J114" s="3">
        <v>0</v>
      </c>
      <c r="K114" s="3">
        <v>1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f t="shared" si="42"/>
        <v>1</v>
      </c>
      <c r="W114" s="3">
        <f t="shared" si="41"/>
        <v>130</v>
      </c>
      <c r="X114" s="8" t="s">
        <v>363</v>
      </c>
      <c r="Y114" s="3">
        <v>1.7</v>
      </c>
      <c r="Z114" s="3" t="s">
        <v>39</v>
      </c>
      <c r="AA114" s="3" t="s">
        <v>40</v>
      </c>
      <c r="AB114" s="3" t="s">
        <v>41</v>
      </c>
      <c r="AC114" s="3" t="s">
        <v>42</v>
      </c>
      <c r="BJ114" s="3">
        <f>SUM($AE114,$AF114:AH114)-SUM($CH114:CK114)</f>
        <v>0</v>
      </c>
      <c r="BK114" s="3">
        <f>SUM($AE114,$AF114:AI114)-SUM($CH114:CL114)</f>
        <v>-10</v>
      </c>
      <c r="BL114" s="3">
        <f>SUM($AE114,$AF114:AJ114)-SUM($CH114:CM114)</f>
        <v>-25</v>
      </c>
      <c r="BM114" s="3">
        <f>SUM($AE114,$AF114:AK114)-SUM($CH114:CN114)</f>
        <v>-40</v>
      </c>
      <c r="BN114" s="3">
        <f>SUM($AE114,$AF114:AL114)-SUM($CH114:CO114)</f>
        <v>-60</v>
      </c>
      <c r="BO114" s="3">
        <f>SUM($AE114,$AF114:AM114)-SUM($CH114:CP114)</f>
        <v>-80</v>
      </c>
      <c r="BP114" s="3">
        <f>SUM($AE114,$AF114:AN114)-SUM($CH114:CQ114)</f>
        <v>-100</v>
      </c>
      <c r="BQ114" s="3">
        <f>SUM($AE114,$AF114:AO114)-SUM($CH114:CR114)</f>
        <v>-120</v>
      </c>
      <c r="BR114" s="3">
        <f>SUM($AE114,$AF114:AP114)-SUM($CH114:CS114)</f>
        <v>-130</v>
      </c>
      <c r="BS114" s="3">
        <f>SUM($AE114,$AF114:AQ114)-SUM($CH114:CT114)</f>
        <v>-130</v>
      </c>
      <c r="BT114" s="3">
        <f>SUM($AE114,$AF114:AR114)-SUM($CH114:CU114)</f>
        <v>-130</v>
      </c>
      <c r="BU114" s="3">
        <f>SUM($AE114,$AF114:AS114)-SUM($CH114:CV114)</f>
        <v>-130</v>
      </c>
      <c r="BV114" s="3">
        <f>SUM($AE114,$AF114:AT114)-SUM($CH114:CW114)</f>
        <v>-130</v>
      </c>
      <c r="BW114" s="3">
        <f>SUM($AE114,$AF114:AU114)-SUM($CH114:CX114)</f>
        <v>-130</v>
      </c>
      <c r="BX114" s="3">
        <f>SUM($AE114,$AF114:AV114)-SUM($CH114:CY114)</f>
        <v>-130</v>
      </c>
      <c r="BY114" s="3">
        <f>SUM($AE114,$AF114:AW114)-SUM($CH114:CZ114)</f>
        <v>-130</v>
      </c>
      <c r="BZ114" s="3">
        <f>SUM($AE114,$AF114:AX114)-SUM($CH114:DA114)</f>
        <v>-130</v>
      </c>
      <c r="CA114" s="3">
        <f>SUM($AE114,$AF114:AY114)-SUM($CH114:DB114)</f>
        <v>-130</v>
      </c>
      <c r="CB114" s="3">
        <f>SUM($AE114,$AF114:AZ114)-SUM($CH114:DC114)</f>
        <v>-130</v>
      </c>
      <c r="CC114" s="3">
        <f>SUM($AE114,$AF114:BA114)-SUM($CH114:DD114)</f>
        <v>-130</v>
      </c>
      <c r="CI114" s="3">
        <f t="array" ref="CI114">SUMPRODUCT($J114:$U114,TRANSPOSE(CI$3:CI$14))</f>
        <v>0</v>
      </c>
      <c r="CJ114" s="3">
        <f t="array" ref="CJ114">SUMPRODUCT($J114:$U114,TRANSPOSE(CJ$3:CJ$14))</f>
        <v>0</v>
      </c>
      <c r="CK114" s="3">
        <f t="array" ref="CK114">SUMPRODUCT($J114:$U114,TRANSPOSE(CK$3:CK$14))</f>
        <v>0</v>
      </c>
      <c r="CL114" s="3">
        <f t="array" ref="CL114">SUMPRODUCT($J114:$U114,TRANSPOSE(CL$3:CL$14))</f>
        <v>10</v>
      </c>
      <c r="CM114" s="3">
        <f t="array" ref="CM114">SUMPRODUCT($J114:$U114,TRANSPOSE(CM$3:CM$14))</f>
        <v>15</v>
      </c>
      <c r="CN114" s="3">
        <f t="array" ref="CN114">SUMPRODUCT($J114:$U114,TRANSPOSE(CN$3:CN$14))</f>
        <v>15</v>
      </c>
      <c r="CO114" s="3">
        <f t="array" ref="CO114">SUMPRODUCT($J114:$U114,TRANSPOSE(CO$3:CO$14))</f>
        <v>20</v>
      </c>
      <c r="CP114" s="3">
        <f t="array" ref="CP114">SUMPRODUCT($J114:$U114,TRANSPOSE(CP$3:CP$14))</f>
        <v>20</v>
      </c>
      <c r="CQ114" s="3">
        <f t="array" ref="CQ114">SUMPRODUCT($J114:$U114,TRANSPOSE(CQ$3:CQ$14))</f>
        <v>20</v>
      </c>
      <c r="CR114" s="3">
        <f t="array" ref="CR114">SUMPRODUCT($J114:$U114,TRANSPOSE(CR$3:CR$14))</f>
        <v>20</v>
      </c>
      <c r="CS114" s="3">
        <f t="array" ref="CS114">SUMPRODUCT($J114:$U114,TRANSPOSE(CS$3:CS$14))</f>
        <v>10</v>
      </c>
      <c r="CT114" s="3">
        <f t="array" ref="CT114">SUMPRODUCT($J114:$U114,TRANSPOSE(CT$3:CT$14))</f>
        <v>0</v>
      </c>
      <c r="CU114" s="3">
        <f t="array" ref="CU114">SUMPRODUCT($J114:$U114,TRANSPOSE(CU$3:CU$14))</f>
        <v>0</v>
      </c>
      <c r="CV114" s="3">
        <f t="array" ref="CV114">SUMPRODUCT($J114:$U114,TRANSPOSE(CV$3:CV$14))</f>
        <v>0</v>
      </c>
      <c r="CW114" s="3">
        <f t="array" ref="CW114">SUMPRODUCT($J114:$U114,TRANSPOSE(CW$3:CW$14))</f>
        <v>0</v>
      </c>
      <c r="CX114" s="3">
        <f t="array" ref="CX114">SUMPRODUCT($J114:$U114,TRANSPOSE(CX$3:CX$14))</f>
        <v>0</v>
      </c>
      <c r="CY114" s="3">
        <f t="array" ref="CY114">SUMPRODUCT($J114:$U114,TRANSPOSE(CY$3:CY$14))</f>
        <v>0</v>
      </c>
      <c r="CZ114" s="3">
        <f t="array" ref="CZ114">SUMPRODUCT($J114:$U114,TRANSPOSE(CZ$3:CZ$14))</f>
        <v>0</v>
      </c>
      <c r="DA114" s="3">
        <f t="array" ref="DA114">SUMPRODUCT($J114:$U114,TRANSPOSE(DA$3:DA$14))</f>
        <v>0</v>
      </c>
      <c r="DB114" s="3">
        <f t="array" ref="DB114">SUMPRODUCT($J114:$U114,TRANSPOSE(DB$3:DB$14))</f>
        <v>0</v>
      </c>
      <c r="DC114" s="3">
        <f t="array" ref="DC114">SUMPRODUCT($J114:$U114,TRANSPOSE(DC$3:DC$14))</f>
        <v>0</v>
      </c>
      <c r="DD114" s="3">
        <f t="array" ref="DD114">SUMPRODUCT($J114:$U114,TRANSPOSE(DD$3:DD$14))</f>
        <v>0</v>
      </c>
      <c r="DE114" s="3">
        <f t="array" ref="DE114">SUMPRODUCT($J114:$U114,TRANSPOSE(DE$3:DE$14))</f>
        <v>0</v>
      </c>
    </row>
    <row r="115" spans="1:109" ht="13.5" thickBot="1" x14ac:dyDescent="0.25">
      <c r="A115" s="3">
        <v>299</v>
      </c>
      <c r="B115" s="9" t="s">
        <v>351</v>
      </c>
      <c r="C115" s="3" t="s">
        <v>13</v>
      </c>
      <c r="D115" s="3">
        <v>410790353</v>
      </c>
      <c r="F115" s="3" t="s">
        <v>569</v>
      </c>
      <c r="G115" s="3" t="s">
        <v>14</v>
      </c>
      <c r="H115" s="3">
        <v>1</v>
      </c>
      <c r="I115" s="3">
        <v>1</v>
      </c>
      <c r="J115" s="3">
        <v>1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f t="shared" si="42"/>
        <v>1</v>
      </c>
      <c r="W115" s="3">
        <f t="shared" si="41"/>
        <v>130</v>
      </c>
      <c r="X115" s="8" t="s">
        <v>15</v>
      </c>
      <c r="Z115" s="3" t="s">
        <v>15</v>
      </c>
      <c r="BJ115" s="3">
        <f>SUM($AE115,$AF115:AH115)-SUM($CH115:CK115)</f>
        <v>0</v>
      </c>
      <c r="BK115" s="3">
        <f>SUM($AE115,$AF115:AI115)-SUM($CH115:CL115)</f>
        <v>0</v>
      </c>
      <c r="BL115" s="3">
        <f>SUM($AE115,$AF115:AJ115)-SUM($CH115:CM115)</f>
        <v>-10</v>
      </c>
      <c r="BM115" s="3">
        <f>SUM($AE115,$AF115:AK115)-SUM($CH115:CN115)</f>
        <v>-25</v>
      </c>
      <c r="BN115" s="3">
        <f>SUM($AE115,$AF115:AL115)-SUM($CH115:CO115)</f>
        <v>-40</v>
      </c>
      <c r="BO115" s="3">
        <f>SUM($AE115,$AF115:AM115)-SUM($CH115:CP115)</f>
        <v>-60</v>
      </c>
      <c r="BP115" s="3">
        <f>SUM($AE115,$AF115:AN115)-SUM($CH115:CQ115)</f>
        <v>-80</v>
      </c>
      <c r="BQ115" s="3">
        <f>SUM($AE115,$AF115:AO115)-SUM($CH115:CR115)</f>
        <v>-100</v>
      </c>
      <c r="BR115" s="3">
        <f>SUM($AE115,$AF115:AP115)-SUM($CH115:CS115)</f>
        <v>-120</v>
      </c>
      <c r="BS115" s="3">
        <f>SUM($AE115,$AF115:AQ115)-SUM($CH115:CT115)</f>
        <v>-130</v>
      </c>
      <c r="BT115" s="3">
        <f>SUM($AE115,$AF115:AR115)-SUM($CH115:CU115)</f>
        <v>-130</v>
      </c>
      <c r="BU115" s="3">
        <f>SUM($AE115,$AF115:AS115)-SUM($CH115:CV115)</f>
        <v>-130</v>
      </c>
      <c r="BV115" s="3">
        <f>SUM($AE115,$AF115:AT115)-SUM($CH115:CW115)</f>
        <v>-130</v>
      </c>
      <c r="BW115" s="3">
        <f>SUM($AE115,$AF115:AU115)-SUM($CH115:CX115)</f>
        <v>-130</v>
      </c>
      <c r="BX115" s="3">
        <f>SUM($AE115,$AF115:AV115)-SUM($CH115:CY115)</f>
        <v>-130</v>
      </c>
      <c r="BY115" s="3">
        <f>SUM($AE115,$AF115:AW115)-SUM($CH115:CZ115)</f>
        <v>-130</v>
      </c>
      <c r="BZ115" s="3">
        <f>SUM($AE115,$AF115:AX115)-SUM($CH115:DA115)</f>
        <v>-130</v>
      </c>
      <c r="CA115" s="3">
        <f>SUM($AE115,$AF115:AY115)-SUM($CH115:DB115)</f>
        <v>-130</v>
      </c>
      <c r="CB115" s="3">
        <f>SUM($AE115,$AF115:AZ115)-SUM($CH115:DC115)</f>
        <v>-130</v>
      </c>
      <c r="CC115" s="3">
        <f>SUM($AE115,$AF115:BA115)-SUM($CH115:DD115)</f>
        <v>-130</v>
      </c>
      <c r="CI115" s="3">
        <f t="array" ref="CI115">SUMPRODUCT($J115:$U115,TRANSPOSE(CI$3:CI$14))</f>
        <v>0</v>
      </c>
      <c r="CJ115" s="3">
        <f t="array" ref="CJ115">SUMPRODUCT($J115:$U115,TRANSPOSE(CJ$3:CJ$14))</f>
        <v>0</v>
      </c>
      <c r="CK115" s="3">
        <f t="array" ref="CK115">SUMPRODUCT($J115:$U115,TRANSPOSE(CK$3:CK$14))</f>
        <v>0</v>
      </c>
      <c r="CL115" s="3">
        <f t="array" ref="CL115">SUMPRODUCT($J115:$U115,TRANSPOSE(CL$3:CL$14))</f>
        <v>0</v>
      </c>
      <c r="CM115" s="3">
        <f t="array" ref="CM115">SUMPRODUCT($J115:$U115,TRANSPOSE(CM$3:CM$14))</f>
        <v>10</v>
      </c>
      <c r="CN115" s="3">
        <f t="array" ref="CN115">SUMPRODUCT($J115:$U115,TRANSPOSE(CN$3:CN$14))</f>
        <v>15</v>
      </c>
      <c r="CO115" s="3">
        <f t="array" ref="CO115">SUMPRODUCT($J115:$U115,TRANSPOSE(CO$3:CO$14))</f>
        <v>15</v>
      </c>
      <c r="CP115" s="3">
        <f t="array" ref="CP115">SUMPRODUCT($J115:$U115,TRANSPOSE(CP$3:CP$14))</f>
        <v>20</v>
      </c>
      <c r="CQ115" s="3">
        <f t="array" ref="CQ115">SUMPRODUCT($J115:$U115,TRANSPOSE(CQ$3:CQ$14))</f>
        <v>20</v>
      </c>
      <c r="CR115" s="3">
        <f t="array" ref="CR115">SUMPRODUCT($J115:$U115,TRANSPOSE(CR$3:CR$14))</f>
        <v>20</v>
      </c>
      <c r="CS115" s="3">
        <f t="array" ref="CS115">SUMPRODUCT($J115:$U115,TRANSPOSE(CS$3:CS$14))</f>
        <v>20</v>
      </c>
      <c r="CT115" s="3">
        <f t="array" ref="CT115">SUMPRODUCT($J115:$U115,TRANSPOSE(CT$3:CT$14))</f>
        <v>10</v>
      </c>
      <c r="CU115" s="3">
        <f t="array" ref="CU115">SUMPRODUCT($J115:$U115,TRANSPOSE(CU$3:CU$14))</f>
        <v>0</v>
      </c>
      <c r="CV115" s="3">
        <f t="array" ref="CV115">SUMPRODUCT($J115:$U115,TRANSPOSE(CV$3:CV$14))</f>
        <v>0</v>
      </c>
      <c r="CW115" s="3">
        <f t="array" ref="CW115">SUMPRODUCT($J115:$U115,TRANSPOSE(CW$3:CW$14))</f>
        <v>0</v>
      </c>
      <c r="CX115" s="3">
        <f t="array" ref="CX115">SUMPRODUCT($J115:$U115,TRANSPOSE(CX$3:CX$14))</f>
        <v>0</v>
      </c>
      <c r="CY115" s="3">
        <f t="array" ref="CY115">SUMPRODUCT($J115:$U115,TRANSPOSE(CY$3:CY$14))</f>
        <v>0</v>
      </c>
      <c r="CZ115" s="3">
        <f t="array" ref="CZ115">SUMPRODUCT($J115:$U115,TRANSPOSE(CZ$3:CZ$14))</f>
        <v>0</v>
      </c>
      <c r="DA115" s="3">
        <f t="array" ref="DA115">SUMPRODUCT($J115:$U115,TRANSPOSE(DA$3:DA$14))</f>
        <v>0</v>
      </c>
      <c r="DB115" s="3">
        <f t="array" ref="DB115">SUMPRODUCT($J115:$U115,TRANSPOSE(DB$3:DB$14))</f>
        <v>0</v>
      </c>
      <c r="DC115" s="3">
        <f t="array" ref="DC115">SUMPRODUCT($J115:$U115,TRANSPOSE(DC$3:DC$14))</f>
        <v>0</v>
      </c>
      <c r="DD115" s="3">
        <f t="array" ref="DD115">SUMPRODUCT($J115:$U115,TRANSPOSE(DD$3:DD$14))</f>
        <v>0</v>
      </c>
      <c r="DE115" s="3">
        <f t="array" ref="DE115">SUMPRODUCT($J115:$U115,TRANSPOSE(DE$3:DE$14))</f>
        <v>0</v>
      </c>
    </row>
    <row r="116" spans="1:109" ht="13.5" thickBot="1" x14ac:dyDescent="0.25">
      <c r="A116" s="3">
        <v>300</v>
      </c>
      <c r="B116" s="9" t="s">
        <v>570</v>
      </c>
      <c r="C116" s="3" t="s">
        <v>13</v>
      </c>
      <c r="D116" s="3">
        <v>410398269</v>
      </c>
      <c r="F116" s="3" t="s">
        <v>571</v>
      </c>
      <c r="G116" s="3" t="s">
        <v>14</v>
      </c>
      <c r="H116" s="3">
        <v>1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>
        <v>1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f t="shared" si="42"/>
        <v>1</v>
      </c>
      <c r="W116" s="3">
        <f t="shared" si="41"/>
        <v>130</v>
      </c>
      <c r="X116" s="8" t="s">
        <v>363</v>
      </c>
      <c r="Y116" s="3">
        <v>1.7</v>
      </c>
      <c r="Z116" s="3" t="s">
        <v>39</v>
      </c>
      <c r="AA116" s="3" t="s">
        <v>40</v>
      </c>
      <c r="AB116" s="3" t="s">
        <v>41</v>
      </c>
      <c r="AC116" s="3" t="s">
        <v>42</v>
      </c>
      <c r="BJ116" s="3">
        <f>SUM($AE116,$AF116:AH116)-SUM($CH116:CK116)</f>
        <v>0</v>
      </c>
      <c r="BK116" s="3">
        <f>SUM($AE116,$AF116:AI116)-SUM($CH116:CL116)</f>
        <v>-10</v>
      </c>
      <c r="BL116" s="3">
        <f>SUM($AE116,$AF116:AJ116)-SUM($CH116:CM116)</f>
        <v>-25</v>
      </c>
      <c r="BM116" s="3">
        <f>SUM($AE116,$AF116:AK116)-SUM($CH116:CN116)</f>
        <v>-40</v>
      </c>
      <c r="BN116" s="3">
        <f>SUM($AE116,$AF116:AL116)-SUM($CH116:CO116)</f>
        <v>-60</v>
      </c>
      <c r="BO116" s="3">
        <f>SUM($AE116,$AF116:AM116)-SUM($CH116:CP116)</f>
        <v>-80</v>
      </c>
      <c r="BP116" s="3">
        <f>SUM($AE116,$AF116:AN116)-SUM($CH116:CQ116)</f>
        <v>-100</v>
      </c>
      <c r="BQ116" s="3">
        <f>SUM($AE116,$AF116:AO116)-SUM($CH116:CR116)</f>
        <v>-120</v>
      </c>
      <c r="BR116" s="3">
        <f>SUM($AE116,$AF116:AP116)-SUM($CH116:CS116)</f>
        <v>-130</v>
      </c>
      <c r="BS116" s="3">
        <f>SUM($AE116,$AF116:AQ116)-SUM($CH116:CT116)</f>
        <v>-130</v>
      </c>
      <c r="BT116" s="3">
        <f>SUM($AE116,$AF116:AR116)-SUM($CH116:CU116)</f>
        <v>-130</v>
      </c>
      <c r="BU116" s="3">
        <f>SUM($AE116,$AF116:AS116)-SUM($CH116:CV116)</f>
        <v>-130</v>
      </c>
      <c r="BV116" s="3">
        <f>SUM($AE116,$AF116:AT116)-SUM($CH116:CW116)</f>
        <v>-130</v>
      </c>
      <c r="BW116" s="3">
        <f>SUM($AE116,$AF116:AU116)-SUM($CH116:CX116)</f>
        <v>-130</v>
      </c>
      <c r="BX116" s="3">
        <f>SUM($AE116,$AF116:AV116)-SUM($CH116:CY116)</f>
        <v>-130</v>
      </c>
      <c r="BY116" s="3">
        <f>SUM($AE116,$AF116:AW116)-SUM($CH116:CZ116)</f>
        <v>-130</v>
      </c>
      <c r="BZ116" s="3">
        <f>SUM($AE116,$AF116:AX116)-SUM($CH116:DA116)</f>
        <v>-130</v>
      </c>
      <c r="CA116" s="3">
        <f>SUM($AE116,$AF116:AY116)-SUM($CH116:DB116)</f>
        <v>-130</v>
      </c>
      <c r="CB116" s="3">
        <f>SUM($AE116,$AF116:AZ116)-SUM($CH116:DC116)</f>
        <v>-130</v>
      </c>
      <c r="CC116" s="3">
        <f>SUM($AE116,$AF116:BA116)-SUM($CH116:DD116)</f>
        <v>-130</v>
      </c>
      <c r="CI116" s="3">
        <f t="array" ref="CI116">SUMPRODUCT($J116:$U116,TRANSPOSE(CI$3:CI$14))</f>
        <v>0</v>
      </c>
      <c r="CJ116" s="3">
        <f t="array" ref="CJ116">SUMPRODUCT($J116:$U116,TRANSPOSE(CJ$3:CJ$14))</f>
        <v>0</v>
      </c>
      <c r="CK116" s="3">
        <f t="array" ref="CK116">SUMPRODUCT($J116:$U116,TRANSPOSE(CK$3:CK$14))</f>
        <v>0</v>
      </c>
      <c r="CL116" s="3">
        <f t="array" ref="CL116">SUMPRODUCT($J116:$U116,TRANSPOSE(CL$3:CL$14))</f>
        <v>10</v>
      </c>
      <c r="CM116" s="3">
        <f t="array" ref="CM116">SUMPRODUCT($J116:$U116,TRANSPOSE(CM$3:CM$14))</f>
        <v>15</v>
      </c>
      <c r="CN116" s="3">
        <f t="array" ref="CN116">SUMPRODUCT($J116:$U116,TRANSPOSE(CN$3:CN$14))</f>
        <v>15</v>
      </c>
      <c r="CO116" s="3">
        <f t="array" ref="CO116">SUMPRODUCT($J116:$U116,TRANSPOSE(CO$3:CO$14))</f>
        <v>20</v>
      </c>
      <c r="CP116" s="3">
        <f t="array" ref="CP116">SUMPRODUCT($J116:$U116,TRANSPOSE(CP$3:CP$14))</f>
        <v>20</v>
      </c>
      <c r="CQ116" s="3">
        <f t="array" ref="CQ116">SUMPRODUCT($J116:$U116,TRANSPOSE(CQ$3:CQ$14))</f>
        <v>20</v>
      </c>
      <c r="CR116" s="3">
        <f t="array" ref="CR116">SUMPRODUCT($J116:$U116,TRANSPOSE(CR$3:CR$14))</f>
        <v>20</v>
      </c>
      <c r="CS116" s="3">
        <f t="array" ref="CS116">SUMPRODUCT($J116:$U116,TRANSPOSE(CS$3:CS$14))</f>
        <v>10</v>
      </c>
      <c r="CT116" s="3">
        <f t="array" ref="CT116">SUMPRODUCT($J116:$U116,TRANSPOSE(CT$3:CT$14))</f>
        <v>0</v>
      </c>
      <c r="CU116" s="3">
        <f t="array" ref="CU116">SUMPRODUCT($J116:$U116,TRANSPOSE(CU$3:CU$14))</f>
        <v>0</v>
      </c>
      <c r="CV116" s="3">
        <f t="array" ref="CV116">SUMPRODUCT($J116:$U116,TRANSPOSE(CV$3:CV$14))</f>
        <v>0</v>
      </c>
      <c r="CW116" s="3">
        <f t="array" ref="CW116">SUMPRODUCT($J116:$U116,TRANSPOSE(CW$3:CW$14))</f>
        <v>0</v>
      </c>
      <c r="CX116" s="3">
        <f t="array" ref="CX116">SUMPRODUCT($J116:$U116,TRANSPOSE(CX$3:CX$14))</f>
        <v>0</v>
      </c>
      <c r="CY116" s="3">
        <f t="array" ref="CY116">SUMPRODUCT($J116:$U116,TRANSPOSE(CY$3:CY$14))</f>
        <v>0</v>
      </c>
      <c r="CZ116" s="3">
        <f t="array" ref="CZ116">SUMPRODUCT($J116:$U116,TRANSPOSE(CZ$3:CZ$14))</f>
        <v>0</v>
      </c>
      <c r="DA116" s="3">
        <f t="array" ref="DA116">SUMPRODUCT($J116:$U116,TRANSPOSE(DA$3:DA$14))</f>
        <v>0</v>
      </c>
      <c r="DB116" s="3">
        <f t="array" ref="DB116">SUMPRODUCT($J116:$U116,TRANSPOSE(DB$3:DB$14))</f>
        <v>0</v>
      </c>
      <c r="DC116" s="3">
        <f t="array" ref="DC116">SUMPRODUCT($J116:$U116,TRANSPOSE(DC$3:DC$14))</f>
        <v>0</v>
      </c>
      <c r="DD116" s="3">
        <f t="array" ref="DD116">SUMPRODUCT($J116:$U116,TRANSPOSE(DD$3:DD$14))</f>
        <v>0</v>
      </c>
      <c r="DE116" s="3">
        <f t="array" ref="DE116">SUMPRODUCT($J116:$U116,TRANSPOSE(DE$3:DE$14))</f>
        <v>0</v>
      </c>
    </row>
    <row r="117" spans="1:109" ht="13.5" thickBot="1" x14ac:dyDescent="0.25">
      <c r="A117" s="3">
        <v>301</v>
      </c>
      <c r="B117" s="9" t="s">
        <v>352</v>
      </c>
      <c r="C117" s="3" t="s">
        <v>13</v>
      </c>
      <c r="D117" s="3">
        <v>410790302</v>
      </c>
      <c r="F117" s="3" t="s">
        <v>572</v>
      </c>
      <c r="G117" s="3" t="s">
        <v>14</v>
      </c>
      <c r="H117" s="3">
        <v>1</v>
      </c>
      <c r="I117" s="3">
        <v>1</v>
      </c>
      <c r="J117" s="3">
        <v>1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f t="shared" si="42"/>
        <v>1</v>
      </c>
      <c r="W117" s="3">
        <f t="shared" si="41"/>
        <v>130</v>
      </c>
      <c r="X117" s="8" t="s">
        <v>15</v>
      </c>
      <c r="Z117" s="3" t="s">
        <v>15</v>
      </c>
      <c r="BJ117" s="3">
        <f>SUM($AE117,$AF117:AH117)-SUM($CH117:CK117)</f>
        <v>0</v>
      </c>
      <c r="BK117" s="3">
        <f>SUM($AE117,$AF117:AI117)-SUM($CH117:CL117)</f>
        <v>0</v>
      </c>
      <c r="BL117" s="3">
        <f>SUM($AE117,$AF117:AJ117)-SUM($CH117:CM117)</f>
        <v>-10</v>
      </c>
      <c r="BM117" s="3">
        <f>SUM($AE117,$AF117:AK117)-SUM($CH117:CN117)</f>
        <v>-25</v>
      </c>
      <c r="BN117" s="3">
        <f>SUM($AE117,$AF117:AL117)-SUM($CH117:CO117)</f>
        <v>-40</v>
      </c>
      <c r="BO117" s="3">
        <f>SUM($AE117,$AF117:AM117)-SUM($CH117:CP117)</f>
        <v>-60</v>
      </c>
      <c r="BP117" s="3">
        <f>SUM($AE117,$AF117:AN117)-SUM($CH117:CQ117)</f>
        <v>-80</v>
      </c>
      <c r="BQ117" s="3">
        <f>SUM($AE117,$AF117:AO117)-SUM($CH117:CR117)</f>
        <v>-100</v>
      </c>
      <c r="BR117" s="3">
        <f>SUM($AE117,$AF117:AP117)-SUM($CH117:CS117)</f>
        <v>-120</v>
      </c>
      <c r="BS117" s="3">
        <f>SUM($AE117,$AF117:AQ117)-SUM($CH117:CT117)</f>
        <v>-130</v>
      </c>
      <c r="BT117" s="3">
        <f>SUM($AE117,$AF117:AR117)-SUM($CH117:CU117)</f>
        <v>-130</v>
      </c>
      <c r="BU117" s="3">
        <f>SUM($AE117,$AF117:AS117)-SUM($CH117:CV117)</f>
        <v>-130</v>
      </c>
      <c r="BV117" s="3">
        <f>SUM($AE117,$AF117:AT117)-SUM($CH117:CW117)</f>
        <v>-130</v>
      </c>
      <c r="BW117" s="3">
        <f>SUM($AE117,$AF117:AU117)-SUM($CH117:CX117)</f>
        <v>-130</v>
      </c>
      <c r="BX117" s="3">
        <f>SUM($AE117,$AF117:AV117)-SUM($CH117:CY117)</f>
        <v>-130</v>
      </c>
      <c r="BY117" s="3">
        <f>SUM($AE117,$AF117:AW117)-SUM($CH117:CZ117)</f>
        <v>-130</v>
      </c>
      <c r="BZ117" s="3">
        <f>SUM($AE117,$AF117:AX117)-SUM($CH117:DA117)</f>
        <v>-130</v>
      </c>
      <c r="CA117" s="3">
        <f>SUM($AE117,$AF117:AY117)-SUM($CH117:DB117)</f>
        <v>-130</v>
      </c>
      <c r="CB117" s="3">
        <f>SUM($AE117,$AF117:AZ117)-SUM($CH117:DC117)</f>
        <v>-130</v>
      </c>
      <c r="CC117" s="3">
        <f>SUM($AE117,$AF117:BA117)-SUM($CH117:DD117)</f>
        <v>-130</v>
      </c>
      <c r="CI117" s="3">
        <f t="array" ref="CI117">SUMPRODUCT($J117:$U117,TRANSPOSE(CI$3:CI$14))</f>
        <v>0</v>
      </c>
      <c r="CJ117" s="3">
        <f t="array" ref="CJ117">SUMPRODUCT($J117:$U117,TRANSPOSE(CJ$3:CJ$14))</f>
        <v>0</v>
      </c>
      <c r="CK117" s="3">
        <f t="array" ref="CK117">SUMPRODUCT($J117:$U117,TRANSPOSE(CK$3:CK$14))</f>
        <v>0</v>
      </c>
      <c r="CL117" s="3">
        <f t="array" ref="CL117">SUMPRODUCT($J117:$U117,TRANSPOSE(CL$3:CL$14))</f>
        <v>0</v>
      </c>
      <c r="CM117" s="3">
        <f t="array" ref="CM117">SUMPRODUCT($J117:$U117,TRANSPOSE(CM$3:CM$14))</f>
        <v>10</v>
      </c>
      <c r="CN117" s="3">
        <f t="array" ref="CN117">SUMPRODUCT($J117:$U117,TRANSPOSE(CN$3:CN$14))</f>
        <v>15</v>
      </c>
      <c r="CO117" s="3">
        <f t="array" ref="CO117">SUMPRODUCT($J117:$U117,TRANSPOSE(CO$3:CO$14))</f>
        <v>15</v>
      </c>
      <c r="CP117" s="3">
        <f t="array" ref="CP117">SUMPRODUCT($J117:$U117,TRANSPOSE(CP$3:CP$14))</f>
        <v>20</v>
      </c>
      <c r="CQ117" s="3">
        <f t="array" ref="CQ117">SUMPRODUCT($J117:$U117,TRANSPOSE(CQ$3:CQ$14))</f>
        <v>20</v>
      </c>
      <c r="CR117" s="3">
        <f t="array" ref="CR117">SUMPRODUCT($J117:$U117,TRANSPOSE(CR$3:CR$14))</f>
        <v>20</v>
      </c>
      <c r="CS117" s="3">
        <f t="array" ref="CS117">SUMPRODUCT($J117:$U117,TRANSPOSE(CS$3:CS$14))</f>
        <v>20</v>
      </c>
      <c r="CT117" s="3">
        <f t="array" ref="CT117">SUMPRODUCT($J117:$U117,TRANSPOSE(CT$3:CT$14))</f>
        <v>10</v>
      </c>
      <c r="CU117" s="3">
        <f t="array" ref="CU117">SUMPRODUCT($J117:$U117,TRANSPOSE(CU$3:CU$14))</f>
        <v>0</v>
      </c>
      <c r="CV117" s="3">
        <f t="array" ref="CV117">SUMPRODUCT($J117:$U117,TRANSPOSE(CV$3:CV$14))</f>
        <v>0</v>
      </c>
      <c r="CW117" s="3">
        <f t="array" ref="CW117">SUMPRODUCT($J117:$U117,TRANSPOSE(CW$3:CW$14))</f>
        <v>0</v>
      </c>
      <c r="CX117" s="3">
        <f t="array" ref="CX117">SUMPRODUCT($J117:$U117,TRANSPOSE(CX$3:CX$14))</f>
        <v>0</v>
      </c>
      <c r="CY117" s="3">
        <f t="array" ref="CY117">SUMPRODUCT($J117:$U117,TRANSPOSE(CY$3:CY$14))</f>
        <v>0</v>
      </c>
      <c r="CZ117" s="3">
        <f t="array" ref="CZ117">SUMPRODUCT($J117:$U117,TRANSPOSE(CZ$3:CZ$14))</f>
        <v>0</v>
      </c>
      <c r="DA117" s="3">
        <f t="array" ref="DA117">SUMPRODUCT($J117:$U117,TRANSPOSE(DA$3:DA$14))</f>
        <v>0</v>
      </c>
      <c r="DB117" s="3">
        <f t="array" ref="DB117">SUMPRODUCT($J117:$U117,TRANSPOSE(DB$3:DB$14))</f>
        <v>0</v>
      </c>
      <c r="DC117" s="3">
        <f t="array" ref="DC117">SUMPRODUCT($J117:$U117,TRANSPOSE(DC$3:DC$14))</f>
        <v>0</v>
      </c>
      <c r="DD117" s="3">
        <f t="array" ref="DD117">SUMPRODUCT($J117:$U117,TRANSPOSE(DD$3:DD$14))</f>
        <v>0</v>
      </c>
      <c r="DE117" s="3">
        <f t="array" ref="DE117">SUMPRODUCT($J117:$U117,TRANSPOSE(DE$3:DE$14))</f>
        <v>0</v>
      </c>
    </row>
    <row r="118" spans="1:109" ht="13.5" thickBot="1" x14ac:dyDescent="0.25">
      <c r="A118" s="3">
        <v>302</v>
      </c>
      <c r="B118" s="9" t="s">
        <v>573</v>
      </c>
      <c r="C118" s="3" t="s">
        <v>13</v>
      </c>
      <c r="D118" s="3">
        <v>410810137</v>
      </c>
      <c r="F118" s="3" t="s">
        <v>38</v>
      </c>
      <c r="G118" s="3" t="s">
        <v>14</v>
      </c>
      <c r="H118" s="3">
        <v>1</v>
      </c>
      <c r="I118" s="3">
        <v>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f t="shared" si="42"/>
        <v>1</v>
      </c>
      <c r="W118" s="3">
        <f t="shared" si="41"/>
        <v>142</v>
      </c>
      <c r="X118" s="8" t="s">
        <v>363</v>
      </c>
      <c r="Y118" s="3">
        <v>2.2000000000000002</v>
      </c>
      <c r="Z118" s="3" t="s">
        <v>39</v>
      </c>
      <c r="AA118" s="3" t="s">
        <v>40</v>
      </c>
      <c r="AB118" s="3" t="s">
        <v>41</v>
      </c>
      <c r="AC118" s="3" t="s">
        <v>42</v>
      </c>
      <c r="BJ118" s="3">
        <f>SUM($AE118,$AF118:AH118)-SUM($CH118:CK118)</f>
        <v>0</v>
      </c>
      <c r="BK118" s="3">
        <f>SUM($AE118,$AF118:AI118)-SUM($CH118:CL118)</f>
        <v>-10</v>
      </c>
      <c r="BL118" s="3">
        <f>SUM($AE118,$AF118:AJ118)-SUM($CH118:CM118)</f>
        <v>-25</v>
      </c>
      <c r="BM118" s="3">
        <f>SUM($AE118,$AF118:AK118)-SUM($CH118:CN118)</f>
        <v>-42</v>
      </c>
      <c r="BN118" s="3">
        <f>SUM($AE118,$AF118:AL118)-SUM($CH118:CO118)</f>
        <v>-62</v>
      </c>
      <c r="BO118" s="3">
        <f>SUM($AE118,$AF118:AM118)-SUM($CH118:CP118)</f>
        <v>-82</v>
      </c>
      <c r="BP118" s="3">
        <f>SUM($AE118,$AF118:AN118)-SUM($CH118:CQ118)</f>
        <v>-102</v>
      </c>
      <c r="BQ118" s="3">
        <f>SUM($AE118,$AF118:AO118)-SUM($CH118:CR118)</f>
        <v>-122</v>
      </c>
      <c r="BR118" s="3">
        <f>SUM($AE118,$AF118:AP118)-SUM($CH118:CS118)</f>
        <v>-142</v>
      </c>
      <c r="BS118" s="3">
        <f>SUM($AE118,$AF118:AQ118)-SUM($CH118:CT118)</f>
        <v>-142</v>
      </c>
      <c r="BT118" s="3">
        <f>SUM($AE118,$AF118:AR118)-SUM($CH118:CU118)</f>
        <v>-142</v>
      </c>
      <c r="BU118" s="3">
        <f>SUM($AE118,$AF118:AS118)-SUM($CH118:CV118)</f>
        <v>-142</v>
      </c>
      <c r="BV118" s="3">
        <f>SUM($AE118,$AF118:AT118)-SUM($CH118:CW118)</f>
        <v>-142</v>
      </c>
      <c r="BW118" s="3">
        <f>SUM($AE118,$AF118:AU118)-SUM($CH118:CX118)</f>
        <v>-142</v>
      </c>
      <c r="BX118" s="3">
        <f>SUM($AE118,$AF118:AV118)-SUM($CH118:CY118)</f>
        <v>-142</v>
      </c>
      <c r="BY118" s="3">
        <f>SUM($AE118,$AF118:AW118)-SUM($CH118:CZ118)</f>
        <v>-142</v>
      </c>
      <c r="BZ118" s="3">
        <f>SUM($AE118,$AF118:AX118)-SUM($CH118:DA118)</f>
        <v>-142</v>
      </c>
      <c r="CA118" s="3">
        <f>SUM($AE118,$AF118:AY118)-SUM($CH118:DB118)</f>
        <v>-142</v>
      </c>
      <c r="CB118" s="3">
        <f>SUM($AE118,$AF118:AZ118)-SUM($CH118:DC118)</f>
        <v>-142</v>
      </c>
      <c r="CC118" s="3">
        <f>SUM($AE118,$AF118:BA118)-SUM($CH118:DD118)</f>
        <v>-142</v>
      </c>
      <c r="CI118" s="3">
        <f t="array" ref="CI118">SUMPRODUCT($J118:$U118,TRANSPOSE(CI$3:CI$14))</f>
        <v>0</v>
      </c>
      <c r="CJ118" s="3">
        <f t="array" ref="CJ118">SUMPRODUCT($J118:$U118,TRANSPOSE(CJ$3:CJ$14))</f>
        <v>0</v>
      </c>
      <c r="CK118" s="3">
        <f t="array" ref="CK118">SUMPRODUCT($J118:$U118,TRANSPOSE(CK$3:CK$14))</f>
        <v>0</v>
      </c>
      <c r="CL118" s="3">
        <f t="array" ref="CL118">SUMPRODUCT($J118:$U118,TRANSPOSE(CL$3:CL$14))</f>
        <v>10</v>
      </c>
      <c r="CM118" s="3">
        <f t="array" ref="CM118">SUMPRODUCT($J118:$U118,TRANSPOSE(CM$3:CM$14))</f>
        <v>15</v>
      </c>
      <c r="CN118" s="3">
        <f t="array" ref="CN118">SUMPRODUCT($J118:$U118,TRANSPOSE(CN$3:CN$14))</f>
        <v>17</v>
      </c>
      <c r="CO118" s="3">
        <f t="array" ref="CO118">SUMPRODUCT($J118:$U118,TRANSPOSE(CO$3:CO$14))</f>
        <v>20</v>
      </c>
      <c r="CP118" s="3">
        <f t="array" ref="CP118">SUMPRODUCT($J118:$U118,TRANSPOSE(CP$3:CP$14))</f>
        <v>20</v>
      </c>
      <c r="CQ118" s="3">
        <f t="array" ref="CQ118">SUMPRODUCT($J118:$U118,TRANSPOSE(CQ$3:CQ$14))</f>
        <v>20</v>
      </c>
      <c r="CR118" s="3">
        <f t="array" ref="CR118">SUMPRODUCT($J118:$U118,TRANSPOSE(CR$3:CR$14))</f>
        <v>20</v>
      </c>
      <c r="CS118" s="3">
        <f t="array" ref="CS118">SUMPRODUCT($J118:$U118,TRANSPOSE(CS$3:CS$14))</f>
        <v>20</v>
      </c>
      <c r="CT118" s="3">
        <f t="array" ref="CT118">SUMPRODUCT($J118:$U118,TRANSPOSE(CT$3:CT$14))</f>
        <v>0</v>
      </c>
      <c r="CU118" s="3">
        <f t="array" ref="CU118">SUMPRODUCT($J118:$U118,TRANSPOSE(CU$3:CU$14))</f>
        <v>0</v>
      </c>
      <c r="CV118" s="3">
        <f t="array" ref="CV118">SUMPRODUCT($J118:$U118,TRANSPOSE(CV$3:CV$14))</f>
        <v>0</v>
      </c>
      <c r="CW118" s="3">
        <f t="array" ref="CW118">SUMPRODUCT($J118:$U118,TRANSPOSE(CW$3:CW$14))</f>
        <v>0</v>
      </c>
      <c r="CX118" s="3">
        <f t="array" ref="CX118">SUMPRODUCT($J118:$U118,TRANSPOSE(CX$3:CX$14))</f>
        <v>0</v>
      </c>
      <c r="CY118" s="3">
        <f t="array" ref="CY118">SUMPRODUCT($J118:$U118,TRANSPOSE(CY$3:CY$14))</f>
        <v>0</v>
      </c>
      <c r="CZ118" s="3">
        <f t="array" ref="CZ118">SUMPRODUCT($J118:$U118,TRANSPOSE(CZ$3:CZ$14))</f>
        <v>0</v>
      </c>
      <c r="DA118" s="3">
        <f t="array" ref="DA118">SUMPRODUCT($J118:$U118,TRANSPOSE(DA$3:DA$14))</f>
        <v>0</v>
      </c>
      <c r="DB118" s="3">
        <f t="array" ref="DB118">SUMPRODUCT($J118:$U118,TRANSPOSE(DB$3:DB$14))</f>
        <v>0</v>
      </c>
      <c r="DC118" s="3">
        <f t="array" ref="DC118">SUMPRODUCT($J118:$U118,TRANSPOSE(DC$3:DC$14))</f>
        <v>0</v>
      </c>
      <c r="DD118" s="3">
        <f t="array" ref="DD118">SUMPRODUCT($J118:$U118,TRANSPOSE(DD$3:DD$14))</f>
        <v>0</v>
      </c>
      <c r="DE118" s="3">
        <f t="array" ref="DE118">SUMPRODUCT($J118:$U118,TRANSPOSE(DE$3:DE$14))</f>
        <v>0</v>
      </c>
    </row>
    <row r="119" spans="1:109" ht="13.5" thickBot="1" x14ac:dyDescent="0.25">
      <c r="A119" s="3">
        <v>303</v>
      </c>
      <c r="B119" s="9" t="s">
        <v>574</v>
      </c>
      <c r="C119" s="3" t="s">
        <v>48</v>
      </c>
      <c r="D119" s="3">
        <v>409480711</v>
      </c>
      <c r="F119" s="3" t="s">
        <v>575</v>
      </c>
      <c r="G119" s="3" t="s">
        <v>14</v>
      </c>
      <c r="H119" s="3">
        <v>1</v>
      </c>
      <c r="I119" s="3">
        <v>1</v>
      </c>
      <c r="J119" s="3">
        <v>1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f t="shared" si="42"/>
        <v>1</v>
      </c>
      <c r="W119" s="3">
        <f t="shared" si="41"/>
        <v>130</v>
      </c>
      <c r="X119" s="8" t="s">
        <v>50</v>
      </c>
      <c r="Z119" s="3" t="s">
        <v>50</v>
      </c>
      <c r="AA119" s="3" t="s">
        <v>50</v>
      </c>
      <c r="AD119" s="3" t="s">
        <v>50</v>
      </c>
      <c r="BJ119" s="3">
        <f>SUM($AE119,$AF119:AH119)-SUM($CH119:CK119)</f>
        <v>0</v>
      </c>
      <c r="BK119" s="3">
        <f>SUM($AE119,$AF119:AI119)-SUM($CH119:CL119)</f>
        <v>0</v>
      </c>
      <c r="BL119" s="3">
        <f>SUM($AE119,$AF119:AJ119)-SUM($CH119:CM119)</f>
        <v>-10</v>
      </c>
      <c r="BM119" s="3">
        <f>SUM($AE119,$AF119:AK119)-SUM($CH119:CN119)</f>
        <v>-25</v>
      </c>
      <c r="BN119" s="3">
        <f>SUM($AE119,$AF119:AL119)-SUM($CH119:CO119)</f>
        <v>-40</v>
      </c>
      <c r="BO119" s="3">
        <f>SUM($AE119,$AF119:AM119)-SUM($CH119:CP119)</f>
        <v>-60</v>
      </c>
      <c r="BP119" s="3">
        <f>SUM($AE119,$AF119:AN119)-SUM($CH119:CQ119)</f>
        <v>-80</v>
      </c>
      <c r="BQ119" s="3">
        <f>SUM($AE119,$AF119:AO119)-SUM($CH119:CR119)</f>
        <v>-100</v>
      </c>
      <c r="BR119" s="3">
        <f>SUM($AE119,$AF119:AP119)-SUM($CH119:CS119)</f>
        <v>-120</v>
      </c>
      <c r="BS119" s="3">
        <f>SUM($AE119,$AF119:AQ119)-SUM($CH119:CT119)</f>
        <v>-130</v>
      </c>
      <c r="BT119" s="3">
        <f>SUM($AE119,$AF119:AR119)-SUM($CH119:CU119)</f>
        <v>-130</v>
      </c>
      <c r="BU119" s="3">
        <f>SUM($AE119,$AF119:AS119)-SUM($CH119:CV119)</f>
        <v>-130</v>
      </c>
      <c r="BV119" s="3">
        <f>SUM($AE119,$AF119:AT119)-SUM($CH119:CW119)</f>
        <v>-130</v>
      </c>
      <c r="BW119" s="3">
        <f>SUM($AE119,$AF119:AU119)-SUM($CH119:CX119)</f>
        <v>-130</v>
      </c>
      <c r="BX119" s="3">
        <f>SUM($AE119,$AF119:AV119)-SUM($CH119:CY119)</f>
        <v>-130</v>
      </c>
      <c r="BY119" s="3">
        <f>SUM($AE119,$AF119:AW119)-SUM($CH119:CZ119)</f>
        <v>-130</v>
      </c>
      <c r="BZ119" s="3">
        <f>SUM($AE119,$AF119:AX119)-SUM($CH119:DA119)</f>
        <v>-130</v>
      </c>
      <c r="CA119" s="3">
        <f>SUM($AE119,$AF119:AY119)-SUM($CH119:DB119)</f>
        <v>-130</v>
      </c>
      <c r="CB119" s="3">
        <f>SUM($AE119,$AF119:AZ119)-SUM($CH119:DC119)</f>
        <v>-130</v>
      </c>
      <c r="CC119" s="3">
        <f>SUM($AE119,$AF119:BA119)-SUM($CH119:DD119)</f>
        <v>-130</v>
      </c>
      <c r="CI119" s="3">
        <f t="array" ref="CI119">SUMPRODUCT($J119:$U119,TRANSPOSE(CI$3:CI$14))</f>
        <v>0</v>
      </c>
      <c r="CJ119" s="3">
        <f t="array" ref="CJ119">SUMPRODUCT($J119:$U119,TRANSPOSE(CJ$3:CJ$14))</f>
        <v>0</v>
      </c>
      <c r="CK119" s="3">
        <f t="array" ref="CK119">SUMPRODUCT($J119:$U119,TRANSPOSE(CK$3:CK$14))</f>
        <v>0</v>
      </c>
      <c r="CL119" s="3">
        <f t="array" ref="CL119">SUMPRODUCT($J119:$U119,TRANSPOSE(CL$3:CL$14))</f>
        <v>0</v>
      </c>
      <c r="CM119" s="3">
        <f t="array" ref="CM119">SUMPRODUCT($J119:$U119,TRANSPOSE(CM$3:CM$14))</f>
        <v>10</v>
      </c>
      <c r="CN119" s="3">
        <f t="array" ref="CN119">SUMPRODUCT($J119:$U119,TRANSPOSE(CN$3:CN$14))</f>
        <v>15</v>
      </c>
      <c r="CO119" s="3">
        <f t="array" ref="CO119">SUMPRODUCT($J119:$U119,TRANSPOSE(CO$3:CO$14))</f>
        <v>15</v>
      </c>
      <c r="CP119" s="3">
        <f t="array" ref="CP119">SUMPRODUCT($J119:$U119,TRANSPOSE(CP$3:CP$14))</f>
        <v>20</v>
      </c>
      <c r="CQ119" s="3">
        <f t="array" ref="CQ119">SUMPRODUCT($J119:$U119,TRANSPOSE(CQ$3:CQ$14))</f>
        <v>20</v>
      </c>
      <c r="CR119" s="3">
        <f t="array" ref="CR119">SUMPRODUCT($J119:$U119,TRANSPOSE(CR$3:CR$14))</f>
        <v>20</v>
      </c>
      <c r="CS119" s="3">
        <f t="array" ref="CS119">SUMPRODUCT($J119:$U119,TRANSPOSE(CS$3:CS$14))</f>
        <v>20</v>
      </c>
      <c r="CT119" s="3">
        <f t="array" ref="CT119">SUMPRODUCT($J119:$U119,TRANSPOSE(CT$3:CT$14))</f>
        <v>10</v>
      </c>
      <c r="CU119" s="3">
        <f t="array" ref="CU119">SUMPRODUCT($J119:$U119,TRANSPOSE(CU$3:CU$14))</f>
        <v>0</v>
      </c>
      <c r="CV119" s="3">
        <f t="array" ref="CV119">SUMPRODUCT($J119:$U119,TRANSPOSE(CV$3:CV$14))</f>
        <v>0</v>
      </c>
      <c r="CW119" s="3">
        <f t="array" ref="CW119">SUMPRODUCT($J119:$U119,TRANSPOSE(CW$3:CW$14))</f>
        <v>0</v>
      </c>
      <c r="CX119" s="3">
        <f t="array" ref="CX119">SUMPRODUCT($J119:$U119,TRANSPOSE(CX$3:CX$14))</f>
        <v>0</v>
      </c>
      <c r="CY119" s="3">
        <f t="array" ref="CY119">SUMPRODUCT($J119:$U119,TRANSPOSE(CY$3:CY$14))</f>
        <v>0</v>
      </c>
      <c r="CZ119" s="3">
        <f t="array" ref="CZ119">SUMPRODUCT($J119:$U119,TRANSPOSE(CZ$3:CZ$14))</f>
        <v>0</v>
      </c>
      <c r="DA119" s="3">
        <f t="array" ref="DA119">SUMPRODUCT($J119:$U119,TRANSPOSE(DA$3:DA$14))</f>
        <v>0</v>
      </c>
      <c r="DB119" s="3">
        <f t="array" ref="DB119">SUMPRODUCT($J119:$U119,TRANSPOSE(DB$3:DB$14))</f>
        <v>0</v>
      </c>
      <c r="DC119" s="3">
        <f t="array" ref="DC119">SUMPRODUCT($J119:$U119,TRANSPOSE(DC$3:DC$14))</f>
        <v>0</v>
      </c>
      <c r="DD119" s="3">
        <f t="array" ref="DD119">SUMPRODUCT($J119:$U119,TRANSPOSE(DD$3:DD$14))</f>
        <v>0</v>
      </c>
      <c r="DE119" s="3">
        <f t="array" ref="DE119">SUMPRODUCT($J119:$U119,TRANSPOSE(DE$3:DE$14))</f>
        <v>0</v>
      </c>
    </row>
    <row r="120" spans="1:109" ht="13.5" thickBot="1" x14ac:dyDescent="0.25">
      <c r="A120" s="3">
        <v>304</v>
      </c>
      <c r="B120" s="9" t="s">
        <v>576</v>
      </c>
      <c r="C120" s="3" t="s">
        <v>13</v>
      </c>
      <c r="D120" s="3">
        <v>410790321</v>
      </c>
      <c r="F120" s="3" t="s">
        <v>577</v>
      </c>
      <c r="G120" s="3" t="s">
        <v>14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f t="shared" si="42"/>
        <v>1</v>
      </c>
      <c r="W120" s="3">
        <f t="shared" si="41"/>
        <v>130</v>
      </c>
      <c r="X120" s="8" t="s">
        <v>50</v>
      </c>
      <c r="Z120" s="3" t="s">
        <v>50</v>
      </c>
      <c r="AA120" s="3" t="s">
        <v>50</v>
      </c>
      <c r="AD120" s="3" t="s">
        <v>50</v>
      </c>
      <c r="BJ120" s="3">
        <f>SUM($AE120,$AF120:AH120)-SUM($CH120:CK120)</f>
        <v>0</v>
      </c>
      <c r="BK120" s="3">
        <f>SUM($AE120,$AF120:AI120)-SUM($CH120:CL120)</f>
        <v>0</v>
      </c>
      <c r="BL120" s="3">
        <f>SUM($AE120,$AF120:AJ120)-SUM($CH120:CM120)</f>
        <v>-10</v>
      </c>
      <c r="BM120" s="3">
        <f>SUM($AE120,$AF120:AK120)-SUM($CH120:CN120)</f>
        <v>-25</v>
      </c>
      <c r="BN120" s="3">
        <f>SUM($AE120,$AF120:AL120)-SUM($CH120:CO120)</f>
        <v>-40</v>
      </c>
      <c r="BO120" s="3">
        <f>SUM($AE120,$AF120:AM120)-SUM($CH120:CP120)</f>
        <v>-60</v>
      </c>
      <c r="BP120" s="3">
        <f>SUM($AE120,$AF120:AN120)-SUM($CH120:CQ120)</f>
        <v>-80</v>
      </c>
      <c r="BQ120" s="3">
        <f>SUM($AE120,$AF120:AO120)-SUM($CH120:CR120)</f>
        <v>-100</v>
      </c>
      <c r="BR120" s="3">
        <f>SUM($AE120,$AF120:AP120)-SUM($CH120:CS120)</f>
        <v>-120</v>
      </c>
      <c r="BS120" s="3">
        <f>SUM($AE120,$AF120:AQ120)-SUM($CH120:CT120)</f>
        <v>-130</v>
      </c>
      <c r="BT120" s="3">
        <f>SUM($AE120,$AF120:AR120)-SUM($CH120:CU120)</f>
        <v>-130</v>
      </c>
      <c r="BU120" s="3">
        <f>SUM($AE120,$AF120:AS120)-SUM($CH120:CV120)</f>
        <v>-130</v>
      </c>
      <c r="BV120" s="3">
        <f>SUM($AE120,$AF120:AT120)-SUM($CH120:CW120)</f>
        <v>-130</v>
      </c>
      <c r="BW120" s="3">
        <f>SUM($AE120,$AF120:AU120)-SUM($CH120:CX120)</f>
        <v>-130</v>
      </c>
      <c r="BX120" s="3">
        <f>SUM($AE120,$AF120:AV120)-SUM($CH120:CY120)</f>
        <v>-130</v>
      </c>
      <c r="BY120" s="3">
        <f>SUM($AE120,$AF120:AW120)-SUM($CH120:CZ120)</f>
        <v>-130</v>
      </c>
      <c r="BZ120" s="3">
        <f>SUM($AE120,$AF120:AX120)-SUM($CH120:DA120)</f>
        <v>-130</v>
      </c>
      <c r="CA120" s="3">
        <f>SUM($AE120,$AF120:AY120)-SUM($CH120:DB120)</f>
        <v>-130</v>
      </c>
      <c r="CB120" s="3">
        <f>SUM($AE120,$AF120:AZ120)-SUM($CH120:DC120)</f>
        <v>-130</v>
      </c>
      <c r="CC120" s="3">
        <f>SUM($AE120,$AF120:BA120)-SUM($CH120:DD120)</f>
        <v>-130</v>
      </c>
      <c r="CI120" s="3">
        <f t="array" ref="CI120">SUMPRODUCT($J120:$U120,TRANSPOSE(CI$3:CI$14))</f>
        <v>0</v>
      </c>
      <c r="CJ120" s="3">
        <f t="array" ref="CJ120">SUMPRODUCT($J120:$U120,TRANSPOSE(CJ$3:CJ$14))</f>
        <v>0</v>
      </c>
      <c r="CK120" s="3">
        <f t="array" ref="CK120">SUMPRODUCT($J120:$U120,TRANSPOSE(CK$3:CK$14))</f>
        <v>0</v>
      </c>
      <c r="CL120" s="3">
        <f t="array" ref="CL120">SUMPRODUCT($J120:$U120,TRANSPOSE(CL$3:CL$14))</f>
        <v>0</v>
      </c>
      <c r="CM120" s="3">
        <f t="array" ref="CM120">SUMPRODUCT($J120:$U120,TRANSPOSE(CM$3:CM$14))</f>
        <v>10</v>
      </c>
      <c r="CN120" s="3">
        <f t="array" ref="CN120">SUMPRODUCT($J120:$U120,TRANSPOSE(CN$3:CN$14))</f>
        <v>15</v>
      </c>
      <c r="CO120" s="3">
        <f t="array" ref="CO120">SUMPRODUCT($J120:$U120,TRANSPOSE(CO$3:CO$14))</f>
        <v>15</v>
      </c>
      <c r="CP120" s="3">
        <f t="array" ref="CP120">SUMPRODUCT($J120:$U120,TRANSPOSE(CP$3:CP$14))</f>
        <v>20</v>
      </c>
      <c r="CQ120" s="3">
        <f t="array" ref="CQ120">SUMPRODUCT($J120:$U120,TRANSPOSE(CQ$3:CQ$14))</f>
        <v>20</v>
      </c>
      <c r="CR120" s="3">
        <f t="array" ref="CR120">SUMPRODUCT($J120:$U120,TRANSPOSE(CR$3:CR$14))</f>
        <v>20</v>
      </c>
      <c r="CS120" s="3">
        <f t="array" ref="CS120">SUMPRODUCT($J120:$U120,TRANSPOSE(CS$3:CS$14))</f>
        <v>20</v>
      </c>
      <c r="CT120" s="3">
        <f t="array" ref="CT120">SUMPRODUCT($J120:$U120,TRANSPOSE(CT$3:CT$14))</f>
        <v>10</v>
      </c>
      <c r="CU120" s="3">
        <f t="array" ref="CU120">SUMPRODUCT($J120:$U120,TRANSPOSE(CU$3:CU$14))</f>
        <v>0</v>
      </c>
      <c r="CV120" s="3">
        <f t="array" ref="CV120">SUMPRODUCT($J120:$U120,TRANSPOSE(CV$3:CV$14))</f>
        <v>0</v>
      </c>
      <c r="CW120" s="3">
        <f t="array" ref="CW120">SUMPRODUCT($J120:$U120,TRANSPOSE(CW$3:CW$14))</f>
        <v>0</v>
      </c>
      <c r="CX120" s="3">
        <f t="array" ref="CX120">SUMPRODUCT($J120:$U120,TRANSPOSE(CX$3:CX$14))</f>
        <v>0</v>
      </c>
      <c r="CY120" s="3">
        <f t="array" ref="CY120">SUMPRODUCT($J120:$U120,TRANSPOSE(CY$3:CY$14))</f>
        <v>0</v>
      </c>
      <c r="CZ120" s="3">
        <f t="array" ref="CZ120">SUMPRODUCT($J120:$U120,TRANSPOSE(CZ$3:CZ$14))</f>
        <v>0</v>
      </c>
      <c r="DA120" s="3">
        <f t="array" ref="DA120">SUMPRODUCT($J120:$U120,TRANSPOSE(DA$3:DA$14))</f>
        <v>0</v>
      </c>
      <c r="DB120" s="3">
        <f t="array" ref="DB120">SUMPRODUCT($J120:$U120,TRANSPOSE(DB$3:DB$14))</f>
        <v>0</v>
      </c>
      <c r="DC120" s="3">
        <f t="array" ref="DC120">SUMPRODUCT($J120:$U120,TRANSPOSE(DC$3:DC$14))</f>
        <v>0</v>
      </c>
      <c r="DD120" s="3">
        <f t="array" ref="DD120">SUMPRODUCT($J120:$U120,TRANSPOSE(DD$3:DD$14))</f>
        <v>0</v>
      </c>
      <c r="DE120" s="3">
        <f t="array" ref="DE120">SUMPRODUCT($J120:$U120,TRANSPOSE(DE$3:DE$14))</f>
        <v>0</v>
      </c>
    </row>
    <row r="121" spans="1:109" ht="13.5" thickBot="1" x14ac:dyDescent="0.25">
      <c r="A121" s="3">
        <v>306</v>
      </c>
      <c r="B121" s="9" t="s">
        <v>578</v>
      </c>
      <c r="C121" s="3" t="s">
        <v>13</v>
      </c>
      <c r="D121" s="3">
        <v>410790355</v>
      </c>
      <c r="F121" s="3" t="s">
        <v>579</v>
      </c>
      <c r="G121" s="3" t="s">
        <v>14</v>
      </c>
      <c r="H121" s="3">
        <v>1</v>
      </c>
      <c r="I121" s="3">
        <v>1</v>
      </c>
      <c r="J121" s="3">
        <v>1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f t="shared" si="42"/>
        <v>1</v>
      </c>
      <c r="W121" s="3">
        <f t="shared" si="41"/>
        <v>130</v>
      </c>
      <c r="X121" s="8" t="s">
        <v>50</v>
      </c>
      <c r="Z121" s="3" t="s">
        <v>50</v>
      </c>
      <c r="AA121" s="3" t="s">
        <v>50</v>
      </c>
      <c r="AD121" s="3" t="s">
        <v>50</v>
      </c>
      <c r="BJ121" s="3">
        <f>SUM($AE121,$AF121:AH121)-SUM($CH121:CK121)</f>
        <v>0</v>
      </c>
      <c r="BK121" s="3">
        <f>SUM($AE121,$AF121:AI121)-SUM($CH121:CL121)</f>
        <v>0</v>
      </c>
      <c r="BL121" s="3">
        <f>SUM($AE121,$AF121:AJ121)-SUM($CH121:CM121)</f>
        <v>-10</v>
      </c>
      <c r="BM121" s="3">
        <f>SUM($AE121,$AF121:AK121)-SUM($CH121:CN121)</f>
        <v>-25</v>
      </c>
      <c r="BN121" s="3">
        <f>SUM($AE121,$AF121:AL121)-SUM($CH121:CO121)</f>
        <v>-40</v>
      </c>
      <c r="BO121" s="3">
        <f>SUM($AE121,$AF121:AM121)-SUM($CH121:CP121)</f>
        <v>-60</v>
      </c>
      <c r="BP121" s="3">
        <f>SUM($AE121,$AF121:AN121)-SUM($CH121:CQ121)</f>
        <v>-80</v>
      </c>
      <c r="BQ121" s="3">
        <f>SUM($AE121,$AF121:AO121)-SUM($CH121:CR121)</f>
        <v>-100</v>
      </c>
      <c r="BR121" s="3">
        <f>SUM($AE121,$AF121:AP121)-SUM($CH121:CS121)</f>
        <v>-120</v>
      </c>
      <c r="BS121" s="3">
        <f>SUM($AE121,$AF121:AQ121)-SUM($CH121:CT121)</f>
        <v>-130</v>
      </c>
      <c r="BT121" s="3">
        <f>SUM($AE121,$AF121:AR121)-SUM($CH121:CU121)</f>
        <v>-130</v>
      </c>
      <c r="BU121" s="3">
        <f>SUM($AE121,$AF121:AS121)-SUM($CH121:CV121)</f>
        <v>-130</v>
      </c>
      <c r="BV121" s="3">
        <f>SUM($AE121,$AF121:AT121)-SUM($CH121:CW121)</f>
        <v>-130</v>
      </c>
      <c r="BW121" s="3">
        <f>SUM($AE121,$AF121:AU121)-SUM($CH121:CX121)</f>
        <v>-130</v>
      </c>
      <c r="BX121" s="3">
        <f>SUM($AE121,$AF121:AV121)-SUM($CH121:CY121)</f>
        <v>-130</v>
      </c>
      <c r="BY121" s="3">
        <f>SUM($AE121,$AF121:AW121)-SUM($CH121:CZ121)</f>
        <v>-130</v>
      </c>
      <c r="BZ121" s="3">
        <f>SUM($AE121,$AF121:AX121)-SUM($CH121:DA121)</f>
        <v>-130</v>
      </c>
      <c r="CA121" s="3">
        <f>SUM($AE121,$AF121:AY121)-SUM($CH121:DB121)</f>
        <v>-130</v>
      </c>
      <c r="CB121" s="3">
        <f>SUM($AE121,$AF121:AZ121)-SUM($CH121:DC121)</f>
        <v>-130</v>
      </c>
      <c r="CC121" s="3">
        <f>SUM($AE121,$AF121:BA121)-SUM($CH121:DD121)</f>
        <v>-130</v>
      </c>
      <c r="CI121" s="3">
        <f t="array" ref="CI121">SUMPRODUCT($J121:$U121,TRANSPOSE(CI$3:CI$14))</f>
        <v>0</v>
      </c>
      <c r="CJ121" s="3">
        <f t="array" ref="CJ121">SUMPRODUCT($J121:$U121,TRANSPOSE(CJ$3:CJ$14))</f>
        <v>0</v>
      </c>
      <c r="CK121" s="3">
        <f t="array" ref="CK121">SUMPRODUCT($J121:$U121,TRANSPOSE(CK$3:CK$14))</f>
        <v>0</v>
      </c>
      <c r="CL121" s="3">
        <f t="array" ref="CL121">SUMPRODUCT($J121:$U121,TRANSPOSE(CL$3:CL$14))</f>
        <v>0</v>
      </c>
      <c r="CM121" s="3">
        <f t="array" ref="CM121">SUMPRODUCT($J121:$U121,TRANSPOSE(CM$3:CM$14))</f>
        <v>10</v>
      </c>
      <c r="CN121" s="3">
        <f t="array" ref="CN121">SUMPRODUCT($J121:$U121,TRANSPOSE(CN$3:CN$14))</f>
        <v>15</v>
      </c>
      <c r="CO121" s="3">
        <f t="array" ref="CO121">SUMPRODUCT($J121:$U121,TRANSPOSE(CO$3:CO$14))</f>
        <v>15</v>
      </c>
      <c r="CP121" s="3">
        <f t="array" ref="CP121">SUMPRODUCT($J121:$U121,TRANSPOSE(CP$3:CP$14))</f>
        <v>20</v>
      </c>
      <c r="CQ121" s="3">
        <f t="array" ref="CQ121">SUMPRODUCT($J121:$U121,TRANSPOSE(CQ$3:CQ$14))</f>
        <v>20</v>
      </c>
      <c r="CR121" s="3">
        <f t="array" ref="CR121">SUMPRODUCT($J121:$U121,TRANSPOSE(CR$3:CR$14))</f>
        <v>20</v>
      </c>
      <c r="CS121" s="3">
        <f t="array" ref="CS121">SUMPRODUCT($J121:$U121,TRANSPOSE(CS$3:CS$14))</f>
        <v>20</v>
      </c>
      <c r="CT121" s="3">
        <f t="array" ref="CT121">SUMPRODUCT($J121:$U121,TRANSPOSE(CT$3:CT$14))</f>
        <v>10</v>
      </c>
      <c r="CU121" s="3">
        <f t="array" ref="CU121">SUMPRODUCT($J121:$U121,TRANSPOSE(CU$3:CU$14))</f>
        <v>0</v>
      </c>
      <c r="CV121" s="3">
        <f t="array" ref="CV121">SUMPRODUCT($J121:$U121,TRANSPOSE(CV$3:CV$14))</f>
        <v>0</v>
      </c>
      <c r="CW121" s="3">
        <f t="array" ref="CW121">SUMPRODUCT($J121:$U121,TRANSPOSE(CW$3:CW$14))</f>
        <v>0</v>
      </c>
      <c r="CX121" s="3">
        <f t="array" ref="CX121">SUMPRODUCT($J121:$U121,TRANSPOSE(CX$3:CX$14))</f>
        <v>0</v>
      </c>
      <c r="CY121" s="3">
        <f t="array" ref="CY121">SUMPRODUCT($J121:$U121,TRANSPOSE(CY$3:CY$14))</f>
        <v>0</v>
      </c>
      <c r="CZ121" s="3">
        <f t="array" ref="CZ121">SUMPRODUCT($J121:$U121,TRANSPOSE(CZ$3:CZ$14))</f>
        <v>0</v>
      </c>
      <c r="DA121" s="3">
        <f t="array" ref="DA121">SUMPRODUCT($J121:$U121,TRANSPOSE(DA$3:DA$14))</f>
        <v>0</v>
      </c>
      <c r="DB121" s="3">
        <f t="array" ref="DB121">SUMPRODUCT($J121:$U121,TRANSPOSE(DB$3:DB$14))</f>
        <v>0</v>
      </c>
      <c r="DC121" s="3">
        <f t="array" ref="DC121">SUMPRODUCT($J121:$U121,TRANSPOSE(DC$3:DC$14))</f>
        <v>0</v>
      </c>
      <c r="DD121" s="3">
        <f t="array" ref="DD121">SUMPRODUCT($J121:$U121,TRANSPOSE(DD$3:DD$14))</f>
        <v>0</v>
      </c>
      <c r="DE121" s="3">
        <f t="array" ref="DE121">SUMPRODUCT($J121:$U121,TRANSPOSE(DE$3:DE$14))</f>
        <v>0</v>
      </c>
    </row>
    <row r="122" spans="1:109" ht="13.5" thickBot="1" x14ac:dyDescent="0.25">
      <c r="A122" s="3">
        <v>308</v>
      </c>
      <c r="B122" s="9" t="s">
        <v>356</v>
      </c>
      <c r="C122" s="3" t="s">
        <v>13</v>
      </c>
      <c r="D122" s="3">
        <v>410790375</v>
      </c>
      <c r="F122" s="3" t="s">
        <v>580</v>
      </c>
      <c r="G122" s="3" t="s">
        <v>14</v>
      </c>
      <c r="H122" s="3">
        <v>1</v>
      </c>
      <c r="I122" s="3">
        <v>1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f t="shared" si="42"/>
        <v>1</v>
      </c>
      <c r="W122" s="3">
        <f t="shared" si="41"/>
        <v>130</v>
      </c>
      <c r="X122" s="8" t="s">
        <v>15</v>
      </c>
      <c r="Z122" s="3" t="s">
        <v>15</v>
      </c>
      <c r="BJ122" s="3">
        <f>SUM($AE122,$AF122:AH122)-SUM($CH122:CK122)</f>
        <v>0</v>
      </c>
      <c r="BK122" s="3">
        <f>SUM($AE122,$AF122:AI122)-SUM($CH122:CL122)</f>
        <v>0</v>
      </c>
      <c r="BL122" s="3">
        <f>SUM($AE122,$AF122:AJ122)-SUM($CH122:CM122)</f>
        <v>-10</v>
      </c>
      <c r="BM122" s="3">
        <f>SUM($AE122,$AF122:AK122)-SUM($CH122:CN122)</f>
        <v>-25</v>
      </c>
      <c r="BN122" s="3">
        <f>SUM($AE122,$AF122:AL122)-SUM($CH122:CO122)</f>
        <v>-40</v>
      </c>
      <c r="BO122" s="3">
        <f>SUM($AE122,$AF122:AM122)-SUM($CH122:CP122)</f>
        <v>-60</v>
      </c>
      <c r="BP122" s="3">
        <f>SUM($AE122,$AF122:AN122)-SUM($CH122:CQ122)</f>
        <v>-80</v>
      </c>
      <c r="BQ122" s="3">
        <f>SUM($AE122,$AF122:AO122)-SUM($CH122:CR122)</f>
        <v>-100</v>
      </c>
      <c r="BR122" s="3">
        <f>SUM($AE122,$AF122:AP122)-SUM($CH122:CS122)</f>
        <v>-120</v>
      </c>
      <c r="BS122" s="3">
        <f>SUM($AE122,$AF122:AQ122)-SUM($CH122:CT122)</f>
        <v>-130</v>
      </c>
      <c r="BT122" s="3">
        <f>SUM($AE122,$AF122:AR122)-SUM($CH122:CU122)</f>
        <v>-130</v>
      </c>
      <c r="BU122" s="3">
        <f>SUM($AE122,$AF122:AS122)-SUM($CH122:CV122)</f>
        <v>-130</v>
      </c>
      <c r="BV122" s="3">
        <f>SUM($AE122,$AF122:AT122)-SUM($CH122:CW122)</f>
        <v>-130</v>
      </c>
      <c r="BW122" s="3">
        <f>SUM($AE122,$AF122:AU122)-SUM($CH122:CX122)</f>
        <v>-130</v>
      </c>
      <c r="BX122" s="3">
        <f>SUM($AE122,$AF122:AV122)-SUM($CH122:CY122)</f>
        <v>-130</v>
      </c>
      <c r="BY122" s="3">
        <f>SUM($AE122,$AF122:AW122)-SUM($CH122:CZ122)</f>
        <v>-130</v>
      </c>
      <c r="BZ122" s="3">
        <f>SUM($AE122,$AF122:AX122)-SUM($CH122:DA122)</f>
        <v>-130</v>
      </c>
      <c r="CA122" s="3">
        <f>SUM($AE122,$AF122:AY122)-SUM($CH122:DB122)</f>
        <v>-130</v>
      </c>
      <c r="CB122" s="3">
        <f>SUM($AE122,$AF122:AZ122)-SUM($CH122:DC122)</f>
        <v>-130</v>
      </c>
      <c r="CC122" s="3">
        <f>SUM($AE122,$AF122:BA122)-SUM($CH122:DD122)</f>
        <v>-130</v>
      </c>
      <c r="CI122" s="3">
        <f t="array" ref="CI122">SUMPRODUCT($J122:$U122,TRANSPOSE(CI$3:CI$14))</f>
        <v>0</v>
      </c>
      <c r="CJ122" s="3">
        <f t="array" ref="CJ122">SUMPRODUCT($J122:$U122,TRANSPOSE(CJ$3:CJ$14))</f>
        <v>0</v>
      </c>
      <c r="CK122" s="3">
        <f t="array" ref="CK122">SUMPRODUCT($J122:$U122,TRANSPOSE(CK$3:CK$14))</f>
        <v>0</v>
      </c>
      <c r="CL122" s="3">
        <f t="array" ref="CL122">SUMPRODUCT($J122:$U122,TRANSPOSE(CL$3:CL$14))</f>
        <v>0</v>
      </c>
      <c r="CM122" s="3">
        <f t="array" ref="CM122">SUMPRODUCT($J122:$U122,TRANSPOSE(CM$3:CM$14))</f>
        <v>10</v>
      </c>
      <c r="CN122" s="3">
        <f t="array" ref="CN122">SUMPRODUCT($J122:$U122,TRANSPOSE(CN$3:CN$14))</f>
        <v>15</v>
      </c>
      <c r="CO122" s="3">
        <f t="array" ref="CO122">SUMPRODUCT($J122:$U122,TRANSPOSE(CO$3:CO$14))</f>
        <v>15</v>
      </c>
      <c r="CP122" s="3">
        <f t="array" ref="CP122">SUMPRODUCT($J122:$U122,TRANSPOSE(CP$3:CP$14))</f>
        <v>20</v>
      </c>
      <c r="CQ122" s="3">
        <f t="array" ref="CQ122">SUMPRODUCT($J122:$U122,TRANSPOSE(CQ$3:CQ$14))</f>
        <v>20</v>
      </c>
      <c r="CR122" s="3">
        <f t="array" ref="CR122">SUMPRODUCT($J122:$U122,TRANSPOSE(CR$3:CR$14))</f>
        <v>20</v>
      </c>
      <c r="CS122" s="3">
        <f t="array" ref="CS122">SUMPRODUCT($J122:$U122,TRANSPOSE(CS$3:CS$14))</f>
        <v>20</v>
      </c>
      <c r="CT122" s="3">
        <f t="array" ref="CT122">SUMPRODUCT($J122:$U122,TRANSPOSE(CT$3:CT$14))</f>
        <v>10</v>
      </c>
      <c r="CU122" s="3">
        <f t="array" ref="CU122">SUMPRODUCT($J122:$U122,TRANSPOSE(CU$3:CU$14))</f>
        <v>0</v>
      </c>
      <c r="CV122" s="3">
        <f t="array" ref="CV122">SUMPRODUCT($J122:$U122,TRANSPOSE(CV$3:CV$14))</f>
        <v>0</v>
      </c>
      <c r="CW122" s="3">
        <f t="array" ref="CW122">SUMPRODUCT($J122:$U122,TRANSPOSE(CW$3:CW$14))</f>
        <v>0</v>
      </c>
      <c r="CX122" s="3">
        <f t="array" ref="CX122">SUMPRODUCT($J122:$U122,TRANSPOSE(CX$3:CX$14))</f>
        <v>0</v>
      </c>
      <c r="CY122" s="3">
        <f t="array" ref="CY122">SUMPRODUCT($J122:$U122,TRANSPOSE(CY$3:CY$14))</f>
        <v>0</v>
      </c>
      <c r="CZ122" s="3">
        <f t="array" ref="CZ122">SUMPRODUCT($J122:$U122,TRANSPOSE(CZ$3:CZ$14))</f>
        <v>0</v>
      </c>
      <c r="DA122" s="3">
        <f t="array" ref="DA122">SUMPRODUCT($J122:$U122,TRANSPOSE(DA$3:DA$14))</f>
        <v>0</v>
      </c>
      <c r="DB122" s="3">
        <f t="array" ref="DB122">SUMPRODUCT($J122:$U122,TRANSPOSE(DB$3:DB$14))</f>
        <v>0</v>
      </c>
      <c r="DC122" s="3">
        <f t="array" ref="DC122">SUMPRODUCT($J122:$U122,TRANSPOSE(DC$3:DC$14))</f>
        <v>0</v>
      </c>
      <c r="DD122" s="3">
        <f t="array" ref="DD122">SUMPRODUCT($J122:$U122,TRANSPOSE(DD$3:DD$14))</f>
        <v>0</v>
      </c>
      <c r="DE122" s="3">
        <f t="array" ref="DE122">SUMPRODUCT($J122:$U122,TRANSPOSE(DE$3:DE$14))</f>
        <v>0</v>
      </c>
    </row>
    <row r="123" spans="1:109" ht="13.5" thickBot="1" x14ac:dyDescent="0.25">
      <c r="A123" s="3">
        <v>309</v>
      </c>
      <c r="B123" s="9" t="s">
        <v>581</v>
      </c>
      <c r="C123" s="3" t="s">
        <v>13</v>
      </c>
      <c r="D123" s="3">
        <v>410705125</v>
      </c>
      <c r="F123" s="3" t="s">
        <v>38</v>
      </c>
      <c r="G123" s="3" t="s">
        <v>14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1</v>
      </c>
      <c r="U123" s="3">
        <v>0</v>
      </c>
      <c r="V123" s="3">
        <f t="shared" si="42"/>
        <v>1</v>
      </c>
      <c r="W123" s="3">
        <f t="shared" si="41"/>
        <v>145</v>
      </c>
      <c r="X123" s="8" t="s">
        <v>363</v>
      </c>
      <c r="Y123" s="3">
        <v>2.2000000000000002</v>
      </c>
      <c r="Z123" s="3" t="s">
        <v>39</v>
      </c>
      <c r="AA123" s="3" t="s">
        <v>40</v>
      </c>
      <c r="AB123" s="3" t="s">
        <v>41</v>
      </c>
      <c r="AC123" s="3" t="s">
        <v>42</v>
      </c>
      <c r="BJ123" s="3">
        <f>SUM($AE123,$AF123:AH123)-SUM($CH123:CK123)</f>
        <v>0</v>
      </c>
      <c r="BK123" s="3">
        <f>SUM($AE123,$AF123:AI123)-SUM($CH123:CL123)</f>
        <v>-10</v>
      </c>
      <c r="BL123" s="3">
        <f>SUM($AE123,$AF123:AJ123)-SUM($CH123:CM123)</f>
        <v>-25</v>
      </c>
      <c r="BM123" s="3">
        <f>SUM($AE123,$AF123:AK123)-SUM($CH123:CN123)</f>
        <v>-45</v>
      </c>
      <c r="BN123" s="3">
        <f>SUM($AE123,$AF123:AL123)-SUM($CH123:CO123)</f>
        <v>-65</v>
      </c>
      <c r="BO123" s="3">
        <f>SUM($AE123,$AF123:AM123)-SUM($CH123:CP123)</f>
        <v>-85</v>
      </c>
      <c r="BP123" s="3">
        <f>SUM($AE123,$AF123:AN123)-SUM($CH123:CQ123)</f>
        <v>-105</v>
      </c>
      <c r="BQ123" s="3">
        <f>SUM($AE123,$AF123:AO123)-SUM($CH123:CR123)</f>
        <v>-125</v>
      </c>
      <c r="BR123" s="3">
        <f>SUM($AE123,$AF123:AP123)-SUM($CH123:CS123)</f>
        <v>-145</v>
      </c>
      <c r="BS123" s="3">
        <f>SUM($AE123,$AF123:AQ123)-SUM($CH123:CT123)</f>
        <v>-145</v>
      </c>
      <c r="BT123" s="3">
        <f>SUM($AE123,$AF123:AR123)-SUM($CH123:CU123)</f>
        <v>-145</v>
      </c>
      <c r="BU123" s="3">
        <f>SUM($AE123,$AF123:AS123)-SUM($CH123:CV123)</f>
        <v>-145</v>
      </c>
      <c r="BV123" s="3">
        <f>SUM($AE123,$AF123:AT123)-SUM($CH123:CW123)</f>
        <v>-145</v>
      </c>
      <c r="BW123" s="3">
        <f>SUM($AE123,$AF123:AU123)-SUM($CH123:CX123)</f>
        <v>-145</v>
      </c>
      <c r="BX123" s="3">
        <f>SUM($AE123,$AF123:AV123)-SUM($CH123:CY123)</f>
        <v>-145</v>
      </c>
      <c r="BY123" s="3">
        <f>SUM($AE123,$AF123:AW123)-SUM($CH123:CZ123)</f>
        <v>-145</v>
      </c>
      <c r="BZ123" s="3">
        <f>SUM($AE123,$AF123:AX123)-SUM($CH123:DA123)</f>
        <v>-145</v>
      </c>
      <c r="CA123" s="3">
        <f>SUM($AE123,$AF123:AY123)-SUM($CH123:DB123)</f>
        <v>-145</v>
      </c>
      <c r="CB123" s="3">
        <f>SUM($AE123,$AF123:AZ123)-SUM($CH123:DC123)</f>
        <v>-145</v>
      </c>
      <c r="CC123" s="3">
        <f>SUM($AE123,$AF123:BA123)-SUM($CH123:DD123)</f>
        <v>-145</v>
      </c>
      <c r="CI123" s="3">
        <f t="array" ref="CI123">SUMPRODUCT($J123:$U123,TRANSPOSE(CI$3:CI$14))</f>
        <v>0</v>
      </c>
      <c r="CJ123" s="3">
        <f t="array" ref="CJ123">SUMPRODUCT($J123:$U123,TRANSPOSE(CJ$3:CJ$14))</f>
        <v>0</v>
      </c>
      <c r="CK123" s="3">
        <f t="array" ref="CK123">SUMPRODUCT($J123:$U123,TRANSPOSE(CK$3:CK$14))</f>
        <v>0</v>
      </c>
      <c r="CL123" s="3">
        <f t="array" ref="CL123">SUMPRODUCT($J123:$U123,TRANSPOSE(CL$3:CL$14))</f>
        <v>10</v>
      </c>
      <c r="CM123" s="3">
        <f t="array" ref="CM123">SUMPRODUCT($J123:$U123,TRANSPOSE(CM$3:CM$14))</f>
        <v>15</v>
      </c>
      <c r="CN123" s="3">
        <f t="array" ref="CN123">SUMPRODUCT($J123:$U123,TRANSPOSE(CN$3:CN$14))</f>
        <v>20</v>
      </c>
      <c r="CO123" s="3">
        <f t="array" ref="CO123">SUMPRODUCT($J123:$U123,TRANSPOSE(CO$3:CO$14))</f>
        <v>20</v>
      </c>
      <c r="CP123" s="3">
        <f t="array" ref="CP123">SUMPRODUCT($J123:$U123,TRANSPOSE(CP$3:CP$14))</f>
        <v>20</v>
      </c>
      <c r="CQ123" s="3">
        <f t="array" ref="CQ123">SUMPRODUCT($J123:$U123,TRANSPOSE(CQ$3:CQ$14))</f>
        <v>20</v>
      </c>
      <c r="CR123" s="3">
        <f t="array" ref="CR123">SUMPRODUCT($J123:$U123,TRANSPOSE(CR$3:CR$14))</f>
        <v>20</v>
      </c>
      <c r="CS123" s="3">
        <f t="array" ref="CS123">SUMPRODUCT($J123:$U123,TRANSPOSE(CS$3:CS$14))</f>
        <v>20</v>
      </c>
      <c r="CT123" s="3">
        <f t="array" ref="CT123">SUMPRODUCT($J123:$U123,TRANSPOSE(CT$3:CT$14))</f>
        <v>0</v>
      </c>
      <c r="CU123" s="3">
        <f t="array" ref="CU123">SUMPRODUCT($J123:$U123,TRANSPOSE(CU$3:CU$14))</f>
        <v>0</v>
      </c>
      <c r="CV123" s="3">
        <f t="array" ref="CV123">SUMPRODUCT($J123:$U123,TRANSPOSE(CV$3:CV$14))</f>
        <v>0</v>
      </c>
      <c r="CW123" s="3">
        <f t="array" ref="CW123">SUMPRODUCT($J123:$U123,TRANSPOSE(CW$3:CW$14))</f>
        <v>0</v>
      </c>
      <c r="CX123" s="3">
        <f t="array" ref="CX123">SUMPRODUCT($J123:$U123,TRANSPOSE(CX$3:CX$14))</f>
        <v>0</v>
      </c>
      <c r="CY123" s="3">
        <f t="array" ref="CY123">SUMPRODUCT($J123:$U123,TRANSPOSE(CY$3:CY$14))</f>
        <v>0</v>
      </c>
      <c r="CZ123" s="3">
        <f t="array" ref="CZ123">SUMPRODUCT($J123:$U123,TRANSPOSE(CZ$3:CZ$14))</f>
        <v>0</v>
      </c>
      <c r="DA123" s="3">
        <f t="array" ref="DA123">SUMPRODUCT($J123:$U123,TRANSPOSE(DA$3:DA$14))</f>
        <v>0</v>
      </c>
      <c r="DB123" s="3">
        <f t="array" ref="DB123">SUMPRODUCT($J123:$U123,TRANSPOSE(DB$3:DB$14))</f>
        <v>0</v>
      </c>
      <c r="DC123" s="3">
        <f t="array" ref="DC123">SUMPRODUCT($J123:$U123,TRANSPOSE(DC$3:DC$14))</f>
        <v>0</v>
      </c>
      <c r="DD123" s="3">
        <f t="array" ref="DD123">SUMPRODUCT($J123:$U123,TRANSPOSE(DD$3:DD$14))</f>
        <v>0</v>
      </c>
      <c r="DE123" s="3">
        <f t="array" ref="DE123">SUMPRODUCT($J123:$U123,TRANSPOSE(DE$3:DE$14))</f>
        <v>0</v>
      </c>
    </row>
    <row r="124" spans="1:109" ht="13.5" thickBot="1" x14ac:dyDescent="0.25">
      <c r="A124" s="3">
        <v>322</v>
      </c>
      <c r="B124" s="9" t="s">
        <v>582</v>
      </c>
      <c r="C124" s="3" t="s">
        <v>16</v>
      </c>
      <c r="D124" s="3">
        <v>724704010</v>
      </c>
      <c r="E124" s="3" t="s">
        <v>583</v>
      </c>
      <c r="F124" s="3" t="s">
        <v>105</v>
      </c>
      <c r="G124" s="3" t="s">
        <v>28</v>
      </c>
      <c r="H124" s="3">
        <v>2</v>
      </c>
      <c r="I124" s="3" t="s">
        <v>559</v>
      </c>
      <c r="J124" s="3">
        <v>0.05</v>
      </c>
      <c r="K124" s="3">
        <v>0.05</v>
      </c>
      <c r="L124" s="3">
        <v>0.05</v>
      </c>
      <c r="M124" s="3">
        <v>0</v>
      </c>
      <c r="N124" s="3">
        <v>0.05</v>
      </c>
      <c r="O124" s="3">
        <v>0.05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f t="shared" si="42"/>
        <v>0.25</v>
      </c>
      <c r="W124" s="3">
        <f t="shared" si="41"/>
        <v>32.5</v>
      </c>
      <c r="X124" s="6" t="s">
        <v>226</v>
      </c>
      <c r="Y124" s="3">
        <v>0.05</v>
      </c>
      <c r="Z124" s="3" t="s">
        <v>584</v>
      </c>
      <c r="AD124" s="3" t="s">
        <v>106</v>
      </c>
      <c r="BJ124" s="3">
        <f>SUM($AE124,$AF124:AH124)-SUM($CH124:CK124)</f>
        <v>-1</v>
      </c>
      <c r="BK124" s="3">
        <f>SUM($AE124,$AF124:AI124)-SUM($CH124:CL124)</f>
        <v>-3.5</v>
      </c>
      <c r="BL124" s="3">
        <f>SUM($AE124,$AF124:AJ124)-SUM($CH124:CM124)</f>
        <v>-7</v>
      </c>
      <c r="BM124" s="3">
        <f>SUM($AE124,$AF124:AK124)-SUM($CH124:CN124)</f>
        <v>-11.25</v>
      </c>
      <c r="BN124" s="3">
        <f>SUM($AE124,$AF124:AL124)-SUM($CH124:CO124)</f>
        <v>-16</v>
      </c>
      <c r="BO124" s="3">
        <f>SUM($AE124,$AF124:AM124)-SUM($CH124:CP124)</f>
        <v>-21</v>
      </c>
      <c r="BP124" s="3">
        <f>SUM($AE124,$AF124:AN124)-SUM($CH124:CQ124)</f>
        <v>-26</v>
      </c>
      <c r="BQ124" s="3">
        <f>SUM($AE124,$AF124:AO124)-SUM($CH124:CR124)</f>
        <v>-30</v>
      </c>
      <c r="BR124" s="3">
        <f>SUM($AE124,$AF124:AP124)-SUM($CH124:CS124)</f>
        <v>-32</v>
      </c>
      <c r="BS124" s="3">
        <f>SUM($AE124,$AF124:AQ124)-SUM($CH124:CT124)</f>
        <v>-32.5</v>
      </c>
      <c r="BT124" s="3">
        <f>SUM($AE124,$AF124:AR124)-SUM($CH124:CU124)</f>
        <v>-32.5</v>
      </c>
      <c r="BU124" s="3">
        <f>SUM($AE124,$AF124:AS124)-SUM($CH124:CV124)</f>
        <v>-32.5</v>
      </c>
      <c r="BV124" s="3">
        <f>SUM($AE124,$AF124:AT124)-SUM($CH124:CW124)</f>
        <v>-32.5</v>
      </c>
      <c r="BW124" s="3">
        <f>SUM($AE124,$AF124:AU124)-SUM($CH124:CX124)</f>
        <v>-32.5</v>
      </c>
      <c r="BX124" s="3">
        <f>SUM($AE124,$AF124:AV124)-SUM($CH124:CY124)</f>
        <v>-32.5</v>
      </c>
      <c r="BY124" s="3">
        <f>SUM($AE124,$AF124:AW124)-SUM($CH124:CZ124)</f>
        <v>-32.5</v>
      </c>
      <c r="BZ124" s="3">
        <f>SUM($AE124,$AF124:AX124)-SUM($CH124:DA124)</f>
        <v>-32.5</v>
      </c>
      <c r="CA124" s="3">
        <f>SUM($AE124,$AF124:AY124)-SUM($CH124:DB124)</f>
        <v>-32.5</v>
      </c>
      <c r="CB124" s="3">
        <f>SUM($AE124,$AF124:AZ124)-SUM($CH124:DC124)</f>
        <v>-32.5</v>
      </c>
      <c r="CC124" s="3">
        <f>SUM($AE124,$AF124:BA124)-SUM($CH124:DD124)</f>
        <v>-32.5</v>
      </c>
      <c r="CI124" s="3">
        <f t="array" ref="CI124">SUMPRODUCT($J124:$U124,TRANSPOSE(CI$3:CI$14))</f>
        <v>0</v>
      </c>
      <c r="CJ124" s="3">
        <f t="array" ref="CJ124">SUMPRODUCT($J124:$U124,TRANSPOSE(CJ$3:CJ$14))</f>
        <v>0</v>
      </c>
      <c r="CK124" s="3">
        <f t="array" ref="CK124">SUMPRODUCT($J124:$U124,TRANSPOSE(CK$3:CK$14))</f>
        <v>1</v>
      </c>
      <c r="CL124" s="3">
        <f t="array" ref="CL124">SUMPRODUCT($J124:$U124,TRANSPOSE(CL$3:CL$14))</f>
        <v>2.5</v>
      </c>
      <c r="CM124" s="3">
        <f t="array" ref="CM124">SUMPRODUCT($J124:$U124,TRANSPOSE(CM$3:CM$14))</f>
        <v>3.5</v>
      </c>
      <c r="CN124" s="3">
        <f t="array" ref="CN124">SUMPRODUCT($J124:$U124,TRANSPOSE(CN$3:CN$14))</f>
        <v>4.25</v>
      </c>
      <c r="CO124" s="3">
        <f t="array" ref="CO124">SUMPRODUCT($J124:$U124,TRANSPOSE(CO$3:CO$14))</f>
        <v>4.75</v>
      </c>
      <c r="CP124" s="3">
        <f t="array" ref="CP124">SUMPRODUCT($J124:$U124,TRANSPOSE(CP$3:CP$14))</f>
        <v>5</v>
      </c>
      <c r="CQ124" s="3">
        <f t="array" ref="CQ124">SUMPRODUCT($J124:$U124,TRANSPOSE(CQ$3:CQ$14))</f>
        <v>5</v>
      </c>
      <c r="CR124" s="3">
        <f t="array" ref="CR124">SUMPRODUCT($J124:$U124,TRANSPOSE(CR$3:CR$14))</f>
        <v>4</v>
      </c>
      <c r="CS124" s="3">
        <f t="array" ref="CS124">SUMPRODUCT($J124:$U124,TRANSPOSE(CS$3:CS$14))</f>
        <v>2</v>
      </c>
      <c r="CT124" s="3">
        <f t="array" ref="CT124">SUMPRODUCT($J124:$U124,TRANSPOSE(CT$3:CT$14))</f>
        <v>0.5</v>
      </c>
      <c r="CU124" s="3">
        <f t="array" ref="CU124">SUMPRODUCT($J124:$U124,TRANSPOSE(CU$3:CU$14))</f>
        <v>0</v>
      </c>
      <c r="CV124" s="3">
        <f t="array" ref="CV124">SUMPRODUCT($J124:$U124,TRANSPOSE(CV$3:CV$14))</f>
        <v>0</v>
      </c>
      <c r="CW124" s="3">
        <f t="array" ref="CW124">SUMPRODUCT($J124:$U124,TRANSPOSE(CW$3:CW$14))</f>
        <v>0</v>
      </c>
      <c r="CX124" s="3">
        <f t="array" ref="CX124">SUMPRODUCT($J124:$U124,TRANSPOSE(CX$3:CX$14))</f>
        <v>0</v>
      </c>
      <c r="CY124" s="3">
        <f t="array" ref="CY124">SUMPRODUCT($J124:$U124,TRANSPOSE(CY$3:CY$14))</f>
        <v>0</v>
      </c>
      <c r="CZ124" s="3">
        <f t="array" ref="CZ124">SUMPRODUCT($J124:$U124,TRANSPOSE(CZ$3:CZ$14))</f>
        <v>0</v>
      </c>
      <c r="DA124" s="3">
        <f t="array" ref="DA124">SUMPRODUCT($J124:$U124,TRANSPOSE(DA$3:DA$14))</f>
        <v>0</v>
      </c>
      <c r="DB124" s="3">
        <f t="array" ref="DB124">SUMPRODUCT($J124:$U124,TRANSPOSE(DB$3:DB$14))</f>
        <v>0</v>
      </c>
      <c r="DC124" s="3">
        <f t="array" ref="DC124">SUMPRODUCT($J124:$U124,TRANSPOSE(DC$3:DC$14))</f>
        <v>0</v>
      </c>
      <c r="DD124" s="3">
        <f t="array" ref="DD124">SUMPRODUCT($J124:$U124,TRANSPOSE(DD$3:DD$14))</f>
        <v>0</v>
      </c>
      <c r="DE124" s="3">
        <f t="array" ref="DE124">SUMPRODUCT($J124:$U124,TRANSPOSE(DE$3:DE$14))</f>
        <v>0</v>
      </c>
    </row>
    <row r="125" spans="1:109" ht="13.5" thickBot="1" x14ac:dyDescent="0.25">
      <c r="A125" s="3">
        <v>344</v>
      </c>
      <c r="B125" s="9" t="s">
        <v>585</v>
      </c>
      <c r="C125" s="3" t="s">
        <v>16</v>
      </c>
      <c r="D125" s="3" t="s">
        <v>586</v>
      </c>
      <c r="E125" s="3" t="s">
        <v>587</v>
      </c>
      <c r="F125" s="3" t="s">
        <v>588</v>
      </c>
      <c r="G125" s="3" t="s">
        <v>14</v>
      </c>
      <c r="H125" s="3">
        <v>2</v>
      </c>
      <c r="I125" s="3">
        <v>1</v>
      </c>
      <c r="J125" s="3">
        <v>1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f t="shared" si="42"/>
        <v>1</v>
      </c>
      <c r="W125" s="3">
        <f t="shared" si="41"/>
        <v>130</v>
      </c>
      <c r="X125" s="6" t="s">
        <v>589</v>
      </c>
      <c r="Y125" s="3">
        <v>60.2</v>
      </c>
      <c r="Z125" s="3" t="s">
        <v>590</v>
      </c>
      <c r="BJ125" s="3">
        <f>SUM($AE125,$AF125:AH125)-SUM($CH125:CK125)</f>
        <v>0</v>
      </c>
      <c r="BK125" s="3">
        <f>SUM($AE125,$AF125:AI125)-SUM($CH125:CL125)</f>
        <v>0</v>
      </c>
      <c r="BL125" s="3">
        <f>SUM($AE125,$AF125:AJ125)-SUM($CH125:CM125)</f>
        <v>-10</v>
      </c>
      <c r="BM125" s="3">
        <f>SUM($AE125,$AF125:AK125)-SUM($CH125:CN125)</f>
        <v>-25</v>
      </c>
      <c r="BN125" s="3">
        <f>SUM($AE125,$AF125:AL125)-SUM($CH125:CO125)</f>
        <v>-40</v>
      </c>
      <c r="BO125" s="3">
        <f>SUM($AE125,$AF125:AM125)-SUM($CH125:CP125)</f>
        <v>-60</v>
      </c>
      <c r="BP125" s="3">
        <f>SUM($AE125,$AF125:AN125)-SUM($CH125:CQ125)</f>
        <v>-80</v>
      </c>
      <c r="BQ125" s="3">
        <f>SUM($AE125,$AF125:AO125)-SUM($CH125:CR125)</f>
        <v>-100</v>
      </c>
      <c r="BR125" s="3">
        <f>SUM($AE125,$AF125:AP125)-SUM($CH125:CS125)</f>
        <v>-120</v>
      </c>
      <c r="BS125" s="3">
        <f>SUM($AE125,$AF125:AQ125)-SUM($CH125:CT125)</f>
        <v>-130</v>
      </c>
      <c r="BT125" s="3">
        <f>SUM($AE125,$AF125:AR125)-SUM($CH125:CU125)</f>
        <v>-130</v>
      </c>
      <c r="BU125" s="3">
        <f>SUM($AE125,$AF125:AS125)-SUM($CH125:CV125)</f>
        <v>-130</v>
      </c>
      <c r="BV125" s="3">
        <f>SUM($AE125,$AF125:AT125)-SUM($CH125:CW125)</f>
        <v>-130</v>
      </c>
      <c r="BW125" s="3">
        <f>SUM($AE125,$AF125:AU125)-SUM($CH125:CX125)</f>
        <v>-130</v>
      </c>
      <c r="BX125" s="3">
        <f>SUM($AE125,$AF125:AV125)-SUM($CH125:CY125)</f>
        <v>-130</v>
      </c>
      <c r="BY125" s="3">
        <f>SUM($AE125,$AF125:AW125)-SUM($CH125:CZ125)</f>
        <v>-130</v>
      </c>
      <c r="BZ125" s="3">
        <f>SUM($AE125,$AF125:AX125)-SUM($CH125:DA125)</f>
        <v>-130</v>
      </c>
      <c r="CA125" s="3">
        <f>SUM($AE125,$AF125:AY125)-SUM($CH125:DB125)</f>
        <v>-130</v>
      </c>
      <c r="CB125" s="3">
        <f>SUM($AE125,$AF125:AZ125)-SUM($CH125:DC125)</f>
        <v>-130</v>
      </c>
      <c r="CC125" s="3">
        <f>SUM($AE125,$AF125:BA125)-SUM($CH125:DD125)</f>
        <v>-130</v>
      </c>
      <c r="CI125" s="3">
        <f t="array" ref="CI125">SUMPRODUCT($J125:$U125,TRANSPOSE(CI$3:CI$14))</f>
        <v>0</v>
      </c>
      <c r="CJ125" s="3">
        <f t="array" ref="CJ125">SUMPRODUCT($J125:$U125,TRANSPOSE(CJ$3:CJ$14))</f>
        <v>0</v>
      </c>
      <c r="CK125" s="3">
        <f t="array" ref="CK125">SUMPRODUCT($J125:$U125,TRANSPOSE(CK$3:CK$14))</f>
        <v>0</v>
      </c>
      <c r="CL125" s="3">
        <f t="array" ref="CL125">SUMPRODUCT($J125:$U125,TRANSPOSE(CL$3:CL$14))</f>
        <v>0</v>
      </c>
      <c r="CM125" s="3">
        <f t="array" ref="CM125">SUMPRODUCT($J125:$U125,TRANSPOSE(CM$3:CM$14))</f>
        <v>10</v>
      </c>
      <c r="CN125" s="3">
        <f t="array" ref="CN125">SUMPRODUCT($J125:$U125,TRANSPOSE(CN$3:CN$14))</f>
        <v>15</v>
      </c>
      <c r="CO125" s="3">
        <f t="array" ref="CO125">SUMPRODUCT($J125:$U125,TRANSPOSE(CO$3:CO$14))</f>
        <v>15</v>
      </c>
      <c r="CP125" s="3">
        <f t="array" ref="CP125">SUMPRODUCT($J125:$U125,TRANSPOSE(CP$3:CP$14))</f>
        <v>20</v>
      </c>
      <c r="CQ125" s="3">
        <f t="array" ref="CQ125">SUMPRODUCT($J125:$U125,TRANSPOSE(CQ$3:CQ$14))</f>
        <v>20</v>
      </c>
      <c r="CR125" s="3">
        <f t="array" ref="CR125">SUMPRODUCT($J125:$U125,TRANSPOSE(CR$3:CR$14))</f>
        <v>20</v>
      </c>
      <c r="CS125" s="3">
        <f t="array" ref="CS125">SUMPRODUCT($J125:$U125,TRANSPOSE(CS$3:CS$14))</f>
        <v>20</v>
      </c>
      <c r="CT125" s="3">
        <f t="array" ref="CT125">SUMPRODUCT($J125:$U125,TRANSPOSE(CT$3:CT$14))</f>
        <v>10</v>
      </c>
      <c r="CU125" s="3">
        <f t="array" ref="CU125">SUMPRODUCT($J125:$U125,TRANSPOSE(CU$3:CU$14))</f>
        <v>0</v>
      </c>
      <c r="CV125" s="3">
        <f t="array" ref="CV125">SUMPRODUCT($J125:$U125,TRANSPOSE(CV$3:CV$14))</f>
        <v>0</v>
      </c>
      <c r="CW125" s="3">
        <f t="array" ref="CW125">SUMPRODUCT($J125:$U125,TRANSPOSE(CW$3:CW$14))</f>
        <v>0</v>
      </c>
      <c r="CX125" s="3">
        <f t="array" ref="CX125">SUMPRODUCT($J125:$U125,TRANSPOSE(CX$3:CX$14))</f>
        <v>0</v>
      </c>
      <c r="CY125" s="3">
        <f t="array" ref="CY125">SUMPRODUCT($J125:$U125,TRANSPOSE(CY$3:CY$14))</f>
        <v>0</v>
      </c>
      <c r="CZ125" s="3">
        <f t="array" ref="CZ125">SUMPRODUCT($J125:$U125,TRANSPOSE(CZ$3:CZ$14))</f>
        <v>0</v>
      </c>
      <c r="DA125" s="3">
        <f t="array" ref="DA125">SUMPRODUCT($J125:$U125,TRANSPOSE(DA$3:DA$14))</f>
        <v>0</v>
      </c>
      <c r="DB125" s="3">
        <f t="array" ref="DB125">SUMPRODUCT($J125:$U125,TRANSPOSE(DB$3:DB$14))</f>
        <v>0</v>
      </c>
      <c r="DC125" s="3">
        <f t="array" ref="DC125">SUMPRODUCT($J125:$U125,TRANSPOSE(DC$3:DC$14))</f>
        <v>0</v>
      </c>
      <c r="DD125" s="3">
        <f t="array" ref="DD125">SUMPRODUCT($J125:$U125,TRANSPOSE(DD$3:DD$14))</f>
        <v>0</v>
      </c>
      <c r="DE125" s="3">
        <f t="array" ref="DE125">SUMPRODUCT($J125:$U125,TRANSPOSE(DE$3:DE$14))</f>
        <v>0</v>
      </c>
    </row>
    <row r="126" spans="1:109" ht="13.5" thickBot="1" x14ac:dyDescent="0.25">
      <c r="A126" s="3">
        <v>352</v>
      </c>
      <c r="B126" s="9" t="s">
        <v>591</v>
      </c>
      <c r="C126" s="3" t="s">
        <v>16</v>
      </c>
      <c r="D126" s="3">
        <v>551298961</v>
      </c>
      <c r="F126" s="3" t="s">
        <v>592</v>
      </c>
      <c r="G126" s="3" t="s">
        <v>14</v>
      </c>
      <c r="H126" s="3">
        <v>1</v>
      </c>
      <c r="I126" s="3">
        <v>8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8</v>
      </c>
      <c r="U126" s="3">
        <v>0</v>
      </c>
      <c r="V126" s="3">
        <f t="shared" si="42"/>
        <v>8</v>
      </c>
      <c r="W126" s="3">
        <f t="shared" si="41"/>
        <v>1160</v>
      </c>
      <c r="X126" s="6" t="s">
        <v>593</v>
      </c>
      <c r="Y126" s="3">
        <v>1.167</v>
      </c>
      <c r="Z126" s="3" t="s">
        <v>594</v>
      </c>
      <c r="AA126" s="3" t="s">
        <v>128</v>
      </c>
      <c r="AB126" s="3" t="s">
        <v>129</v>
      </c>
      <c r="AC126" s="20" t="s">
        <v>130</v>
      </c>
      <c r="BJ126" s="3">
        <f>SUM($AE126,$AF126:AH126)-SUM($CH126:CK126)</f>
        <v>0</v>
      </c>
      <c r="BK126" s="3">
        <f>SUM($AE126,$AF126:AI126)-SUM($CH126:CL126)</f>
        <v>-80</v>
      </c>
      <c r="BL126" s="3">
        <f>SUM($AE126,$AF126:AJ126)-SUM($CH126:CM126)</f>
        <v>-200</v>
      </c>
      <c r="BM126" s="3">
        <f>SUM($AE126,$AF126:AK126)-SUM($CH126:CN126)</f>
        <v>-360</v>
      </c>
      <c r="BN126" s="3">
        <f>SUM($AE126,$AF126:AL126)-SUM($CH126:CO126)</f>
        <v>-520</v>
      </c>
      <c r="BO126" s="3">
        <f>SUM($AE126,$AF126:AM126)-SUM($CH126:CP126)</f>
        <v>-680</v>
      </c>
      <c r="BP126" s="3">
        <f>SUM($AE126,$AF126:AN126)-SUM($CH126:CQ126)</f>
        <v>-840</v>
      </c>
      <c r="BQ126" s="3">
        <f>SUM($AE126,$AF126:AO126)-SUM($CH126:CR126)</f>
        <v>-1000</v>
      </c>
      <c r="BR126" s="3">
        <f>SUM($AE126,$AF126:AP126)-SUM($CH126:CS126)</f>
        <v>-1160</v>
      </c>
      <c r="BS126" s="3">
        <f>SUM($AE126,$AF126:AQ126)-SUM($CH126:CT126)</f>
        <v>-1160</v>
      </c>
      <c r="BT126" s="3">
        <f>SUM($AE126,$AF126:AR126)-SUM($CH126:CU126)</f>
        <v>-1160</v>
      </c>
      <c r="BU126" s="3">
        <f>SUM($AE126,$AF126:AS126)-SUM($CH126:CV126)</f>
        <v>-1160</v>
      </c>
      <c r="BV126" s="3">
        <f>SUM($AE126,$AF126:AT126)-SUM($CH126:CW126)</f>
        <v>-1160</v>
      </c>
      <c r="BW126" s="3">
        <f>SUM($AE126,$AF126:AU126)-SUM($CH126:CX126)</f>
        <v>-1160</v>
      </c>
      <c r="BX126" s="3">
        <f>SUM($AE126,$AF126:AV126)-SUM($CH126:CY126)</f>
        <v>-1160</v>
      </c>
      <c r="BY126" s="3">
        <f>SUM($AE126,$AF126:AW126)-SUM($CH126:CZ126)</f>
        <v>-1160</v>
      </c>
      <c r="BZ126" s="3">
        <f>SUM($AE126,$AF126:AX126)-SUM($CH126:DA126)</f>
        <v>-1160</v>
      </c>
      <c r="CA126" s="3">
        <f>SUM($AE126,$AF126:AY126)-SUM($CH126:DB126)</f>
        <v>-1160</v>
      </c>
      <c r="CB126" s="3">
        <f>SUM($AE126,$AF126:AZ126)-SUM($CH126:DC126)</f>
        <v>-1160</v>
      </c>
      <c r="CC126" s="3">
        <f>SUM($AE126,$AF126:BA126)-SUM($CH126:DD126)</f>
        <v>-1160</v>
      </c>
      <c r="CI126" s="3">
        <f t="array" ref="CI126">SUMPRODUCT($J126:$U126,TRANSPOSE(CI$3:CI$14))</f>
        <v>0</v>
      </c>
      <c r="CJ126" s="3">
        <f t="array" ref="CJ126">SUMPRODUCT($J126:$U126,TRANSPOSE(CJ$3:CJ$14))</f>
        <v>0</v>
      </c>
      <c r="CK126" s="3">
        <f t="array" ref="CK126">SUMPRODUCT($J126:$U126,TRANSPOSE(CK$3:CK$14))</f>
        <v>0</v>
      </c>
      <c r="CL126" s="3">
        <f t="array" ref="CL126">SUMPRODUCT($J126:$U126,TRANSPOSE(CL$3:CL$14))</f>
        <v>80</v>
      </c>
      <c r="CM126" s="3">
        <f t="array" ref="CM126">SUMPRODUCT($J126:$U126,TRANSPOSE(CM$3:CM$14))</f>
        <v>120</v>
      </c>
      <c r="CN126" s="3">
        <f t="array" ref="CN126">SUMPRODUCT($J126:$U126,TRANSPOSE(CN$3:CN$14))</f>
        <v>160</v>
      </c>
      <c r="CO126" s="3">
        <f t="array" ref="CO126">SUMPRODUCT($J126:$U126,TRANSPOSE(CO$3:CO$14))</f>
        <v>160</v>
      </c>
      <c r="CP126" s="3">
        <f t="array" ref="CP126">SUMPRODUCT($J126:$U126,TRANSPOSE(CP$3:CP$14))</f>
        <v>160</v>
      </c>
      <c r="CQ126" s="3">
        <f t="array" ref="CQ126">SUMPRODUCT($J126:$U126,TRANSPOSE(CQ$3:CQ$14))</f>
        <v>160</v>
      </c>
      <c r="CR126" s="3">
        <f t="array" ref="CR126">SUMPRODUCT($J126:$U126,TRANSPOSE(CR$3:CR$14))</f>
        <v>160</v>
      </c>
      <c r="CS126" s="3">
        <f t="array" ref="CS126">SUMPRODUCT($J126:$U126,TRANSPOSE(CS$3:CS$14))</f>
        <v>160</v>
      </c>
      <c r="CT126" s="3">
        <f t="array" ref="CT126">SUMPRODUCT($J126:$U126,TRANSPOSE(CT$3:CT$14))</f>
        <v>0</v>
      </c>
      <c r="CU126" s="3">
        <f t="array" ref="CU126">SUMPRODUCT($J126:$U126,TRANSPOSE(CU$3:CU$14))</f>
        <v>0</v>
      </c>
      <c r="CV126" s="3">
        <f t="array" ref="CV126">SUMPRODUCT($J126:$U126,TRANSPOSE(CV$3:CV$14))</f>
        <v>0</v>
      </c>
      <c r="CW126" s="3">
        <f t="array" ref="CW126">SUMPRODUCT($J126:$U126,TRANSPOSE(CW$3:CW$14))</f>
        <v>0</v>
      </c>
      <c r="CX126" s="3">
        <f t="array" ref="CX126">SUMPRODUCT($J126:$U126,TRANSPOSE(CX$3:CX$14))</f>
        <v>0</v>
      </c>
      <c r="CY126" s="3">
        <f t="array" ref="CY126">SUMPRODUCT($J126:$U126,TRANSPOSE(CY$3:CY$14))</f>
        <v>0</v>
      </c>
      <c r="CZ126" s="3">
        <f t="array" ref="CZ126">SUMPRODUCT($J126:$U126,TRANSPOSE(CZ$3:CZ$14))</f>
        <v>0</v>
      </c>
      <c r="DA126" s="3">
        <f t="array" ref="DA126">SUMPRODUCT($J126:$U126,TRANSPOSE(DA$3:DA$14))</f>
        <v>0</v>
      </c>
      <c r="DB126" s="3">
        <f t="array" ref="DB126">SUMPRODUCT($J126:$U126,TRANSPOSE(DB$3:DB$14))</f>
        <v>0</v>
      </c>
      <c r="DC126" s="3">
        <f t="array" ref="DC126">SUMPRODUCT($J126:$U126,TRANSPOSE(DC$3:DC$14))</f>
        <v>0</v>
      </c>
      <c r="DD126" s="3">
        <f t="array" ref="DD126">SUMPRODUCT($J126:$U126,TRANSPOSE(DD$3:DD$14))</f>
        <v>0</v>
      </c>
      <c r="DE126" s="3">
        <f t="array" ref="DE126">SUMPRODUCT($J126:$U126,TRANSPOSE(DE$3:DE$14))</f>
        <v>0</v>
      </c>
    </row>
    <row r="127" spans="1:109" ht="13.5" thickBot="1" x14ac:dyDescent="0.25">
      <c r="A127" s="3">
        <v>357</v>
      </c>
      <c r="B127" s="9" t="s">
        <v>595</v>
      </c>
      <c r="C127" s="3" t="s">
        <v>16</v>
      </c>
      <c r="D127" s="3" t="s">
        <v>596</v>
      </c>
      <c r="E127" s="3" t="s">
        <v>597</v>
      </c>
      <c r="F127" s="3" t="s">
        <v>598</v>
      </c>
      <c r="G127" s="3" t="s">
        <v>14</v>
      </c>
      <c r="H127" s="3">
        <v>1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f t="shared" si="42"/>
        <v>1</v>
      </c>
      <c r="W127" s="3">
        <f t="shared" si="41"/>
        <v>130</v>
      </c>
      <c r="X127" s="6" t="s">
        <v>589</v>
      </c>
      <c r="Y127" s="3">
        <v>114.95</v>
      </c>
      <c r="Z127" s="3" t="s">
        <v>590</v>
      </c>
      <c r="BJ127" s="3">
        <f>SUM($AE127,$AF127:AH127)-SUM($CH127:CK127)</f>
        <v>0</v>
      </c>
      <c r="BK127" s="3">
        <f>SUM($AE127,$AF127:AI127)-SUM($CH127:CL127)</f>
        <v>0</v>
      </c>
      <c r="BL127" s="3">
        <f>SUM($AE127,$AF127:AJ127)-SUM($CH127:CM127)</f>
        <v>-10</v>
      </c>
      <c r="BM127" s="3">
        <f>SUM($AE127,$AF127:AK127)-SUM($CH127:CN127)</f>
        <v>-25</v>
      </c>
      <c r="BN127" s="3">
        <f>SUM($AE127,$AF127:AL127)-SUM($CH127:CO127)</f>
        <v>-40</v>
      </c>
      <c r="BO127" s="3">
        <f>SUM($AE127,$AF127:AM127)-SUM($CH127:CP127)</f>
        <v>-60</v>
      </c>
      <c r="BP127" s="3">
        <f>SUM($AE127,$AF127:AN127)-SUM($CH127:CQ127)</f>
        <v>-80</v>
      </c>
      <c r="BQ127" s="3">
        <f>SUM($AE127,$AF127:AO127)-SUM($CH127:CR127)</f>
        <v>-100</v>
      </c>
      <c r="BR127" s="3">
        <f>SUM($AE127,$AF127:AP127)-SUM($CH127:CS127)</f>
        <v>-120</v>
      </c>
      <c r="BS127" s="3">
        <f>SUM($AE127,$AF127:AQ127)-SUM($CH127:CT127)</f>
        <v>-130</v>
      </c>
      <c r="BT127" s="3">
        <f>SUM($AE127,$AF127:AR127)-SUM($CH127:CU127)</f>
        <v>-130</v>
      </c>
      <c r="BU127" s="3">
        <f>SUM($AE127,$AF127:AS127)-SUM($CH127:CV127)</f>
        <v>-130</v>
      </c>
      <c r="BV127" s="3">
        <f>SUM($AE127,$AF127:AT127)-SUM($CH127:CW127)</f>
        <v>-130</v>
      </c>
      <c r="BW127" s="3">
        <f>SUM($AE127,$AF127:AU127)-SUM($CH127:CX127)</f>
        <v>-130</v>
      </c>
      <c r="BX127" s="3">
        <f>SUM($AE127,$AF127:AV127)-SUM($CH127:CY127)</f>
        <v>-130</v>
      </c>
      <c r="BY127" s="3">
        <f>SUM($AE127,$AF127:AW127)-SUM($CH127:CZ127)</f>
        <v>-130</v>
      </c>
      <c r="BZ127" s="3">
        <f>SUM($AE127,$AF127:AX127)-SUM($CH127:DA127)</f>
        <v>-130</v>
      </c>
      <c r="CA127" s="3">
        <f>SUM($AE127,$AF127:AY127)-SUM($CH127:DB127)</f>
        <v>-130</v>
      </c>
      <c r="CB127" s="3">
        <f>SUM($AE127,$AF127:AZ127)-SUM($CH127:DC127)</f>
        <v>-130</v>
      </c>
      <c r="CC127" s="3">
        <f>SUM($AE127,$AF127:BA127)-SUM($CH127:DD127)</f>
        <v>-130</v>
      </c>
      <c r="CI127" s="3">
        <f t="array" ref="CI127">SUMPRODUCT($J127:$U127,TRANSPOSE(CI$3:CI$14))</f>
        <v>0</v>
      </c>
      <c r="CJ127" s="3">
        <f t="array" ref="CJ127">SUMPRODUCT($J127:$U127,TRANSPOSE(CJ$3:CJ$14))</f>
        <v>0</v>
      </c>
      <c r="CK127" s="3">
        <f t="array" ref="CK127">SUMPRODUCT($J127:$U127,TRANSPOSE(CK$3:CK$14))</f>
        <v>0</v>
      </c>
      <c r="CL127" s="3">
        <f t="array" ref="CL127">SUMPRODUCT($J127:$U127,TRANSPOSE(CL$3:CL$14))</f>
        <v>0</v>
      </c>
      <c r="CM127" s="3">
        <f t="array" ref="CM127">SUMPRODUCT($J127:$U127,TRANSPOSE(CM$3:CM$14))</f>
        <v>10</v>
      </c>
      <c r="CN127" s="3">
        <f t="array" ref="CN127">SUMPRODUCT($J127:$U127,TRANSPOSE(CN$3:CN$14))</f>
        <v>15</v>
      </c>
      <c r="CO127" s="3">
        <f t="array" ref="CO127">SUMPRODUCT($J127:$U127,TRANSPOSE(CO$3:CO$14))</f>
        <v>15</v>
      </c>
      <c r="CP127" s="3">
        <f t="array" ref="CP127">SUMPRODUCT($J127:$U127,TRANSPOSE(CP$3:CP$14))</f>
        <v>20</v>
      </c>
      <c r="CQ127" s="3">
        <f t="array" ref="CQ127">SUMPRODUCT($J127:$U127,TRANSPOSE(CQ$3:CQ$14))</f>
        <v>20</v>
      </c>
      <c r="CR127" s="3">
        <f t="array" ref="CR127">SUMPRODUCT($J127:$U127,TRANSPOSE(CR$3:CR$14))</f>
        <v>20</v>
      </c>
      <c r="CS127" s="3">
        <f t="array" ref="CS127">SUMPRODUCT($J127:$U127,TRANSPOSE(CS$3:CS$14))</f>
        <v>20</v>
      </c>
      <c r="CT127" s="3">
        <f t="array" ref="CT127">SUMPRODUCT($J127:$U127,TRANSPOSE(CT$3:CT$14))</f>
        <v>10</v>
      </c>
      <c r="CU127" s="3">
        <f t="array" ref="CU127">SUMPRODUCT($J127:$U127,TRANSPOSE(CU$3:CU$14))</f>
        <v>0</v>
      </c>
      <c r="CV127" s="3">
        <f t="array" ref="CV127">SUMPRODUCT($J127:$U127,TRANSPOSE(CV$3:CV$14))</f>
        <v>0</v>
      </c>
      <c r="CW127" s="3">
        <f t="array" ref="CW127">SUMPRODUCT($J127:$U127,TRANSPOSE(CW$3:CW$14))</f>
        <v>0</v>
      </c>
      <c r="CX127" s="3">
        <f t="array" ref="CX127">SUMPRODUCT($J127:$U127,TRANSPOSE(CX$3:CX$14))</f>
        <v>0</v>
      </c>
      <c r="CY127" s="3">
        <f t="array" ref="CY127">SUMPRODUCT($J127:$U127,TRANSPOSE(CY$3:CY$14))</f>
        <v>0</v>
      </c>
      <c r="CZ127" s="3">
        <f t="array" ref="CZ127">SUMPRODUCT($J127:$U127,TRANSPOSE(CZ$3:CZ$14))</f>
        <v>0</v>
      </c>
      <c r="DA127" s="3">
        <f t="array" ref="DA127">SUMPRODUCT($J127:$U127,TRANSPOSE(DA$3:DA$14))</f>
        <v>0</v>
      </c>
      <c r="DB127" s="3">
        <f t="array" ref="DB127">SUMPRODUCT($J127:$U127,TRANSPOSE(DB$3:DB$14))</f>
        <v>0</v>
      </c>
      <c r="DC127" s="3">
        <f t="array" ref="DC127">SUMPRODUCT($J127:$U127,TRANSPOSE(DC$3:DC$14))</f>
        <v>0</v>
      </c>
      <c r="DD127" s="3">
        <f t="array" ref="DD127">SUMPRODUCT($J127:$U127,TRANSPOSE(DD$3:DD$14))</f>
        <v>0</v>
      </c>
      <c r="DE127" s="3">
        <f t="array" ref="DE127">SUMPRODUCT($J127:$U127,TRANSPOSE(DE$3:DE$14))</f>
        <v>0</v>
      </c>
    </row>
    <row r="128" spans="1:109" ht="13.5" thickBot="1" x14ac:dyDescent="0.25">
      <c r="A128" s="3">
        <v>359</v>
      </c>
      <c r="B128" s="9" t="s">
        <v>599</v>
      </c>
      <c r="C128" s="3" t="s">
        <v>16</v>
      </c>
      <c r="D128" s="3" t="s">
        <v>600</v>
      </c>
      <c r="E128" s="3" t="s">
        <v>324</v>
      </c>
      <c r="F128" s="3" t="s">
        <v>601</v>
      </c>
      <c r="G128" s="3" t="s">
        <v>14</v>
      </c>
      <c r="H128" s="3">
        <v>2</v>
      </c>
      <c r="I128" s="3">
        <v>30</v>
      </c>
      <c r="J128" s="3">
        <v>30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f t="shared" si="42"/>
        <v>30</v>
      </c>
      <c r="W128" s="3">
        <f t="shared" si="41"/>
        <v>3900</v>
      </c>
      <c r="X128" s="6" t="s">
        <v>602</v>
      </c>
      <c r="Y128" s="3">
        <v>4.1000000000000002E-2</v>
      </c>
      <c r="Z128" s="3" t="s">
        <v>594</v>
      </c>
      <c r="AC128" s="23"/>
      <c r="BJ128" s="3">
        <f>SUM($AE128,$AF128:AH128)-SUM($CH128:CK128)</f>
        <v>0</v>
      </c>
      <c r="BK128" s="3">
        <f>SUM($AE128,$AF128:AI128)-SUM($CH128:CL128)</f>
        <v>0</v>
      </c>
      <c r="BL128" s="3">
        <f>SUM($AE128,$AF128:AJ128)-SUM($CH128:CM128)</f>
        <v>-300</v>
      </c>
      <c r="BM128" s="3">
        <f>SUM($AE128,$AF128:AK128)-SUM($CH128:CN128)</f>
        <v>-750</v>
      </c>
      <c r="BN128" s="3">
        <f>SUM($AE128,$AF128:AL128)-SUM($CH128:CO128)</f>
        <v>-1200</v>
      </c>
      <c r="BO128" s="3">
        <f>SUM($AE128,$AF128:AM128)-SUM($CH128:CP128)</f>
        <v>-1800</v>
      </c>
      <c r="BP128" s="3">
        <f>SUM($AE128,$AF128:AN128)-SUM($CH128:CQ128)</f>
        <v>-2400</v>
      </c>
      <c r="BQ128" s="3">
        <f>SUM($AE128,$AF128:AO128)-SUM($CH128:CR128)</f>
        <v>-3000</v>
      </c>
      <c r="BR128" s="3">
        <f>SUM($AE128,$AF128:AP128)-SUM($CH128:CS128)</f>
        <v>-3600</v>
      </c>
      <c r="BS128" s="3">
        <f>SUM($AE128,$AF128:AQ128)-SUM($CH128:CT128)</f>
        <v>-3900</v>
      </c>
      <c r="BT128" s="3">
        <f>SUM($AE128,$AF128:AR128)-SUM($CH128:CU128)</f>
        <v>-3900</v>
      </c>
      <c r="BU128" s="3">
        <f>SUM($AE128,$AF128:AS128)-SUM($CH128:CV128)</f>
        <v>-3900</v>
      </c>
      <c r="BV128" s="3">
        <f>SUM($AE128,$AF128:AT128)-SUM($CH128:CW128)</f>
        <v>-3900</v>
      </c>
      <c r="BW128" s="3">
        <f>SUM($AE128,$AF128:AU128)-SUM($CH128:CX128)</f>
        <v>-3900</v>
      </c>
      <c r="BX128" s="3">
        <f>SUM($AE128,$AF128:AV128)-SUM($CH128:CY128)</f>
        <v>-3900</v>
      </c>
      <c r="BY128" s="3">
        <f>SUM($AE128,$AF128:AW128)-SUM($CH128:CZ128)</f>
        <v>-3900</v>
      </c>
      <c r="BZ128" s="3">
        <f>SUM($AE128,$AF128:AX128)-SUM($CH128:DA128)</f>
        <v>-3900</v>
      </c>
      <c r="CA128" s="3">
        <f>SUM($AE128,$AF128:AY128)-SUM($CH128:DB128)</f>
        <v>-3900</v>
      </c>
      <c r="CB128" s="3">
        <f>SUM($AE128,$AF128:AZ128)-SUM($CH128:DC128)</f>
        <v>-3900</v>
      </c>
      <c r="CC128" s="3">
        <f>SUM($AE128,$AF128:BA128)-SUM($CH128:DD128)</f>
        <v>-3900</v>
      </c>
      <c r="CI128" s="3">
        <f t="array" ref="CI128">SUMPRODUCT($J128:$U128,TRANSPOSE(CI$3:CI$14))</f>
        <v>0</v>
      </c>
      <c r="CJ128" s="3">
        <f t="array" ref="CJ128">SUMPRODUCT($J128:$U128,TRANSPOSE(CJ$3:CJ$14))</f>
        <v>0</v>
      </c>
      <c r="CK128" s="3">
        <f t="array" ref="CK128">SUMPRODUCT($J128:$U128,TRANSPOSE(CK$3:CK$14))</f>
        <v>0</v>
      </c>
      <c r="CL128" s="3">
        <f t="array" ref="CL128">SUMPRODUCT($J128:$U128,TRANSPOSE(CL$3:CL$14))</f>
        <v>0</v>
      </c>
      <c r="CM128" s="3">
        <f t="array" ref="CM128">SUMPRODUCT($J128:$U128,TRANSPOSE(CM$3:CM$14))</f>
        <v>300</v>
      </c>
      <c r="CN128" s="3">
        <f t="array" ref="CN128">SUMPRODUCT($J128:$U128,TRANSPOSE(CN$3:CN$14))</f>
        <v>450</v>
      </c>
      <c r="CO128" s="3">
        <f t="array" ref="CO128">SUMPRODUCT($J128:$U128,TRANSPOSE(CO$3:CO$14))</f>
        <v>450</v>
      </c>
      <c r="CP128" s="3">
        <f t="array" ref="CP128">SUMPRODUCT($J128:$U128,TRANSPOSE(CP$3:CP$14))</f>
        <v>600</v>
      </c>
      <c r="CQ128" s="3">
        <f t="array" ref="CQ128">SUMPRODUCT($J128:$U128,TRANSPOSE(CQ$3:CQ$14))</f>
        <v>600</v>
      </c>
      <c r="CR128" s="3">
        <f t="array" ref="CR128">SUMPRODUCT($J128:$U128,TRANSPOSE(CR$3:CR$14))</f>
        <v>600</v>
      </c>
      <c r="CS128" s="3">
        <f t="array" ref="CS128">SUMPRODUCT($J128:$U128,TRANSPOSE(CS$3:CS$14))</f>
        <v>600</v>
      </c>
      <c r="CT128" s="3">
        <f t="array" ref="CT128">SUMPRODUCT($J128:$U128,TRANSPOSE(CT$3:CT$14))</f>
        <v>300</v>
      </c>
      <c r="CU128" s="3">
        <f t="array" ref="CU128">SUMPRODUCT($J128:$U128,TRANSPOSE(CU$3:CU$14))</f>
        <v>0</v>
      </c>
      <c r="CV128" s="3">
        <f t="array" ref="CV128">SUMPRODUCT($J128:$U128,TRANSPOSE(CV$3:CV$14))</f>
        <v>0</v>
      </c>
      <c r="CW128" s="3">
        <f t="array" ref="CW128">SUMPRODUCT($J128:$U128,TRANSPOSE(CW$3:CW$14))</f>
        <v>0</v>
      </c>
      <c r="CX128" s="3">
        <f t="array" ref="CX128">SUMPRODUCT($J128:$U128,TRANSPOSE(CX$3:CX$14))</f>
        <v>0</v>
      </c>
      <c r="CY128" s="3">
        <f t="array" ref="CY128">SUMPRODUCT($J128:$U128,TRANSPOSE(CY$3:CY$14))</f>
        <v>0</v>
      </c>
      <c r="CZ128" s="3">
        <f t="array" ref="CZ128">SUMPRODUCT($J128:$U128,TRANSPOSE(CZ$3:CZ$14))</f>
        <v>0</v>
      </c>
      <c r="DA128" s="3">
        <f t="array" ref="DA128">SUMPRODUCT($J128:$U128,TRANSPOSE(DA$3:DA$14))</f>
        <v>0</v>
      </c>
      <c r="DB128" s="3">
        <f t="array" ref="DB128">SUMPRODUCT($J128:$U128,TRANSPOSE(DB$3:DB$14))</f>
        <v>0</v>
      </c>
      <c r="DC128" s="3">
        <f t="array" ref="DC128">SUMPRODUCT($J128:$U128,TRANSPOSE(DC$3:DC$14))</f>
        <v>0</v>
      </c>
      <c r="DD128" s="3">
        <f t="array" ref="DD128">SUMPRODUCT($J128:$U128,TRANSPOSE(DD$3:DD$14))</f>
        <v>0</v>
      </c>
      <c r="DE128" s="3">
        <f t="array" ref="DE128">SUMPRODUCT($J128:$U128,TRANSPOSE(DE$3:DE$14))</f>
        <v>0</v>
      </c>
    </row>
    <row r="129" spans="1:109" ht="13.5" thickBot="1" x14ac:dyDescent="0.25">
      <c r="A129" s="3">
        <v>362</v>
      </c>
      <c r="B129" s="9" t="s">
        <v>603</v>
      </c>
      <c r="C129" s="3" t="s">
        <v>16</v>
      </c>
      <c r="D129" s="3">
        <v>880045331</v>
      </c>
      <c r="F129" s="3" t="s">
        <v>604</v>
      </c>
      <c r="G129" s="3" t="s">
        <v>14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f t="shared" si="42"/>
        <v>1</v>
      </c>
      <c r="W129" s="3">
        <f t="shared" si="41"/>
        <v>130</v>
      </c>
      <c r="X129" s="6" t="s">
        <v>605</v>
      </c>
      <c r="Y129" s="3">
        <v>49</v>
      </c>
      <c r="Z129" s="3" t="s">
        <v>493</v>
      </c>
      <c r="AA129" s="3" t="s">
        <v>606</v>
      </c>
      <c r="AB129" s="3" t="s">
        <v>607</v>
      </c>
      <c r="AC129" s="3" t="s">
        <v>608</v>
      </c>
      <c r="BJ129" s="3">
        <f>SUM($AE129,$AF129:AH129)-SUM($CH129:CK129)</f>
        <v>0</v>
      </c>
      <c r="BK129" s="3">
        <f>SUM($AE129,$AF129:AI129)-SUM($CH129:CL129)</f>
        <v>0</v>
      </c>
      <c r="BL129" s="3">
        <f>SUM($AE129,$AF129:AJ129)-SUM($CH129:CM129)</f>
        <v>-10</v>
      </c>
      <c r="BM129" s="3">
        <f>SUM($AE129,$AF129:AK129)-SUM($CH129:CN129)</f>
        <v>-25</v>
      </c>
      <c r="BN129" s="3">
        <f>SUM($AE129,$AF129:AL129)-SUM($CH129:CO129)</f>
        <v>-40</v>
      </c>
      <c r="BO129" s="3">
        <f>SUM($AE129,$AF129:AM129)-SUM($CH129:CP129)</f>
        <v>-60</v>
      </c>
      <c r="BP129" s="3">
        <f>SUM($AE129,$AF129:AN129)-SUM($CH129:CQ129)</f>
        <v>-80</v>
      </c>
      <c r="BQ129" s="3">
        <f>SUM($AE129,$AF129:AO129)-SUM($CH129:CR129)</f>
        <v>-100</v>
      </c>
      <c r="BR129" s="3">
        <f>SUM($AE129,$AF129:AP129)-SUM($CH129:CS129)</f>
        <v>-120</v>
      </c>
      <c r="BS129" s="3">
        <f>SUM($AE129,$AF129:AQ129)-SUM($CH129:CT129)</f>
        <v>-130</v>
      </c>
      <c r="BT129" s="3">
        <f>SUM($AE129,$AF129:AR129)-SUM($CH129:CU129)</f>
        <v>-130</v>
      </c>
      <c r="BU129" s="3">
        <f>SUM($AE129,$AF129:AS129)-SUM($CH129:CV129)</f>
        <v>-130</v>
      </c>
      <c r="BV129" s="3">
        <f>SUM($AE129,$AF129:AT129)-SUM($CH129:CW129)</f>
        <v>-130</v>
      </c>
      <c r="BW129" s="3">
        <f>SUM($AE129,$AF129:AU129)-SUM($CH129:CX129)</f>
        <v>-130</v>
      </c>
      <c r="BX129" s="3">
        <f>SUM($AE129,$AF129:AV129)-SUM($CH129:CY129)</f>
        <v>-130</v>
      </c>
      <c r="BY129" s="3">
        <f>SUM($AE129,$AF129:AW129)-SUM($CH129:CZ129)</f>
        <v>-130</v>
      </c>
      <c r="BZ129" s="3">
        <f>SUM($AE129,$AF129:AX129)-SUM($CH129:DA129)</f>
        <v>-130</v>
      </c>
      <c r="CA129" s="3">
        <f>SUM($AE129,$AF129:AY129)-SUM($CH129:DB129)</f>
        <v>-130</v>
      </c>
      <c r="CB129" s="3">
        <f>SUM($AE129,$AF129:AZ129)-SUM($CH129:DC129)</f>
        <v>-130</v>
      </c>
      <c r="CC129" s="3">
        <f>SUM($AE129,$AF129:BA129)-SUM($CH129:DD129)</f>
        <v>-130</v>
      </c>
      <c r="CI129" s="3">
        <f t="array" ref="CI129">SUMPRODUCT($J129:$U129,TRANSPOSE(CI$3:CI$14))</f>
        <v>0</v>
      </c>
      <c r="CJ129" s="3">
        <f t="array" ref="CJ129">SUMPRODUCT($J129:$U129,TRANSPOSE(CJ$3:CJ$14))</f>
        <v>0</v>
      </c>
      <c r="CK129" s="3">
        <f t="array" ref="CK129">SUMPRODUCT($J129:$U129,TRANSPOSE(CK$3:CK$14))</f>
        <v>0</v>
      </c>
      <c r="CL129" s="3">
        <f t="array" ref="CL129">SUMPRODUCT($J129:$U129,TRANSPOSE(CL$3:CL$14))</f>
        <v>0</v>
      </c>
      <c r="CM129" s="3">
        <f t="array" ref="CM129">SUMPRODUCT($J129:$U129,TRANSPOSE(CM$3:CM$14))</f>
        <v>10</v>
      </c>
      <c r="CN129" s="3">
        <f t="array" ref="CN129">SUMPRODUCT($J129:$U129,TRANSPOSE(CN$3:CN$14))</f>
        <v>15</v>
      </c>
      <c r="CO129" s="3">
        <f t="array" ref="CO129">SUMPRODUCT($J129:$U129,TRANSPOSE(CO$3:CO$14))</f>
        <v>15</v>
      </c>
      <c r="CP129" s="3">
        <f t="array" ref="CP129">SUMPRODUCT($J129:$U129,TRANSPOSE(CP$3:CP$14))</f>
        <v>20</v>
      </c>
      <c r="CQ129" s="3">
        <f t="array" ref="CQ129">SUMPRODUCT($J129:$U129,TRANSPOSE(CQ$3:CQ$14))</f>
        <v>20</v>
      </c>
      <c r="CR129" s="3">
        <f t="array" ref="CR129">SUMPRODUCT($J129:$U129,TRANSPOSE(CR$3:CR$14))</f>
        <v>20</v>
      </c>
      <c r="CS129" s="3">
        <f t="array" ref="CS129">SUMPRODUCT($J129:$U129,TRANSPOSE(CS$3:CS$14))</f>
        <v>20</v>
      </c>
      <c r="CT129" s="3">
        <f t="array" ref="CT129">SUMPRODUCT($J129:$U129,TRANSPOSE(CT$3:CT$14))</f>
        <v>10</v>
      </c>
      <c r="CU129" s="3">
        <f t="array" ref="CU129">SUMPRODUCT($J129:$U129,TRANSPOSE(CU$3:CU$14))</f>
        <v>0</v>
      </c>
      <c r="CV129" s="3">
        <f t="array" ref="CV129">SUMPRODUCT($J129:$U129,TRANSPOSE(CV$3:CV$14))</f>
        <v>0</v>
      </c>
      <c r="CW129" s="3">
        <f t="array" ref="CW129">SUMPRODUCT($J129:$U129,TRANSPOSE(CW$3:CW$14))</f>
        <v>0</v>
      </c>
      <c r="CX129" s="3">
        <f t="array" ref="CX129">SUMPRODUCT($J129:$U129,TRANSPOSE(CX$3:CX$14))</f>
        <v>0</v>
      </c>
      <c r="CY129" s="3">
        <f t="array" ref="CY129">SUMPRODUCT($J129:$U129,TRANSPOSE(CY$3:CY$14))</f>
        <v>0</v>
      </c>
      <c r="CZ129" s="3">
        <f t="array" ref="CZ129">SUMPRODUCT($J129:$U129,TRANSPOSE(CZ$3:CZ$14))</f>
        <v>0</v>
      </c>
      <c r="DA129" s="3">
        <f t="array" ref="DA129">SUMPRODUCT($J129:$U129,TRANSPOSE(DA$3:DA$14))</f>
        <v>0</v>
      </c>
      <c r="DB129" s="3">
        <f t="array" ref="DB129">SUMPRODUCT($J129:$U129,TRANSPOSE(DB$3:DB$14))</f>
        <v>0</v>
      </c>
      <c r="DC129" s="3">
        <f t="array" ref="DC129">SUMPRODUCT($J129:$U129,TRANSPOSE(DC$3:DC$14))</f>
        <v>0</v>
      </c>
      <c r="DD129" s="3">
        <f t="array" ref="DD129">SUMPRODUCT($J129:$U129,TRANSPOSE(DD$3:DD$14))</f>
        <v>0</v>
      </c>
      <c r="DE129" s="3">
        <f t="array" ref="DE129">SUMPRODUCT($J129:$U129,TRANSPOSE(DE$3:DE$14))</f>
        <v>0</v>
      </c>
    </row>
    <row r="130" spans="1:109" ht="13.5" thickBot="1" x14ac:dyDescent="0.25">
      <c r="A130" s="3">
        <v>376</v>
      </c>
      <c r="B130" s="9" t="s">
        <v>609</v>
      </c>
      <c r="C130" s="3" t="s">
        <v>16</v>
      </c>
      <c r="D130" s="3">
        <v>400536575</v>
      </c>
      <c r="E130" s="3">
        <v>400326581</v>
      </c>
      <c r="F130" s="3" t="s">
        <v>610</v>
      </c>
      <c r="G130" s="3" t="s">
        <v>14</v>
      </c>
      <c r="H130" s="3">
        <v>2</v>
      </c>
      <c r="I130" s="3">
        <v>3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3</v>
      </c>
      <c r="R130" s="3">
        <v>0</v>
      </c>
      <c r="S130" s="3">
        <v>0</v>
      </c>
      <c r="T130" s="3">
        <v>0</v>
      </c>
      <c r="U130" s="3">
        <v>0</v>
      </c>
      <c r="V130" s="3">
        <f t="shared" si="42"/>
        <v>3</v>
      </c>
      <c r="W130" s="3">
        <f t="shared" si="41"/>
        <v>426</v>
      </c>
      <c r="X130" s="6" t="s">
        <v>112</v>
      </c>
      <c r="Y130" s="3">
        <v>3.63E-3</v>
      </c>
      <c r="Z130" s="3" t="s">
        <v>611</v>
      </c>
      <c r="BJ130" s="3">
        <f>SUM($AE130,$AF130:AH130)-SUM($CH130:CK130)</f>
        <v>-30</v>
      </c>
      <c r="BK130" s="3">
        <f>SUM($AE130,$AF130:AI130)-SUM($CH130:CL130)</f>
        <v>-75</v>
      </c>
      <c r="BL130" s="3">
        <f>SUM($AE130,$AF130:AJ130)-SUM($CH130:CM130)</f>
        <v>-126</v>
      </c>
      <c r="BM130" s="3">
        <f>SUM($AE130,$AF130:AK130)-SUM($CH130:CN130)</f>
        <v>-186</v>
      </c>
      <c r="BN130" s="3">
        <f>SUM($AE130,$AF130:AL130)-SUM($CH130:CO130)</f>
        <v>-246</v>
      </c>
      <c r="BO130" s="3">
        <f>SUM($AE130,$AF130:AM130)-SUM($CH130:CP130)</f>
        <v>-306</v>
      </c>
      <c r="BP130" s="3">
        <f>SUM($AE130,$AF130:AN130)-SUM($CH130:CQ130)</f>
        <v>-366</v>
      </c>
      <c r="BQ130" s="3">
        <f>SUM($AE130,$AF130:AO130)-SUM($CH130:CR130)</f>
        <v>-426</v>
      </c>
      <c r="BR130" s="3">
        <f>SUM($AE130,$AF130:AP130)-SUM($CH130:CS130)</f>
        <v>-426</v>
      </c>
      <c r="BS130" s="3">
        <f>SUM($AE130,$AF130:AQ130)-SUM($CH130:CT130)</f>
        <v>-426</v>
      </c>
      <c r="BT130" s="3">
        <f>SUM($AE130,$AF130:AR130)-SUM($CH130:CU130)</f>
        <v>-426</v>
      </c>
      <c r="BU130" s="3">
        <f>SUM($AE130,$AF130:AS130)-SUM($CH130:CV130)</f>
        <v>-426</v>
      </c>
      <c r="BV130" s="3">
        <f>SUM($AE130,$AF130:AT130)-SUM($CH130:CW130)</f>
        <v>-426</v>
      </c>
      <c r="BW130" s="3">
        <f>SUM($AE130,$AF130:AU130)-SUM($CH130:CX130)</f>
        <v>-426</v>
      </c>
      <c r="BX130" s="3">
        <f>SUM($AE130,$AF130:AV130)-SUM($CH130:CY130)</f>
        <v>-426</v>
      </c>
      <c r="BY130" s="3">
        <f>SUM($AE130,$AF130:AW130)-SUM($CH130:CZ130)</f>
        <v>-426</v>
      </c>
      <c r="BZ130" s="3">
        <f>SUM($AE130,$AF130:AX130)-SUM($CH130:DA130)</f>
        <v>-426</v>
      </c>
      <c r="CA130" s="3">
        <f>SUM($AE130,$AF130:AY130)-SUM($CH130:DB130)</f>
        <v>-426</v>
      </c>
      <c r="CB130" s="3">
        <f>SUM($AE130,$AF130:AZ130)-SUM($CH130:DC130)</f>
        <v>-426</v>
      </c>
      <c r="CC130" s="3">
        <f>SUM($AE130,$AF130:BA130)-SUM($CH130:DD130)</f>
        <v>-426</v>
      </c>
      <c r="CI130" s="3">
        <f t="array" ref="CI130">SUMPRODUCT($J130:$U130,TRANSPOSE(CI$3:CI$14))</f>
        <v>0</v>
      </c>
      <c r="CJ130" s="3">
        <f t="array" ref="CJ130">SUMPRODUCT($J130:$U130,TRANSPOSE(CJ$3:CJ$14))</f>
        <v>0</v>
      </c>
      <c r="CK130" s="3">
        <f t="array" ref="CK130">SUMPRODUCT($J130:$U130,TRANSPOSE(CK$3:CK$14))</f>
        <v>30</v>
      </c>
      <c r="CL130" s="3">
        <f t="array" ref="CL130">SUMPRODUCT($J130:$U130,TRANSPOSE(CL$3:CL$14))</f>
        <v>45</v>
      </c>
      <c r="CM130" s="3">
        <f t="array" ref="CM130">SUMPRODUCT($J130:$U130,TRANSPOSE(CM$3:CM$14))</f>
        <v>51</v>
      </c>
      <c r="CN130" s="3">
        <f t="array" ref="CN130">SUMPRODUCT($J130:$U130,TRANSPOSE(CN$3:CN$14))</f>
        <v>60</v>
      </c>
      <c r="CO130" s="3">
        <f t="array" ref="CO130">SUMPRODUCT($J130:$U130,TRANSPOSE(CO$3:CO$14))</f>
        <v>60</v>
      </c>
      <c r="CP130" s="3">
        <f t="array" ref="CP130">SUMPRODUCT($J130:$U130,TRANSPOSE(CP$3:CP$14))</f>
        <v>60</v>
      </c>
      <c r="CQ130" s="3">
        <f t="array" ref="CQ130">SUMPRODUCT($J130:$U130,TRANSPOSE(CQ$3:CQ$14))</f>
        <v>60</v>
      </c>
      <c r="CR130" s="3">
        <f t="array" ref="CR130">SUMPRODUCT($J130:$U130,TRANSPOSE(CR$3:CR$14))</f>
        <v>60</v>
      </c>
      <c r="CS130" s="3">
        <f t="array" ref="CS130">SUMPRODUCT($J130:$U130,TRANSPOSE(CS$3:CS$14))</f>
        <v>0</v>
      </c>
      <c r="CT130" s="3">
        <f t="array" ref="CT130">SUMPRODUCT($J130:$U130,TRANSPOSE(CT$3:CT$14))</f>
        <v>0</v>
      </c>
      <c r="CU130" s="3">
        <f t="array" ref="CU130">SUMPRODUCT($J130:$U130,TRANSPOSE(CU$3:CU$14))</f>
        <v>0</v>
      </c>
      <c r="CV130" s="3">
        <f t="array" ref="CV130">SUMPRODUCT($J130:$U130,TRANSPOSE(CV$3:CV$14))</f>
        <v>0</v>
      </c>
      <c r="CW130" s="3">
        <f t="array" ref="CW130">SUMPRODUCT($J130:$U130,TRANSPOSE(CW$3:CW$14))</f>
        <v>0</v>
      </c>
      <c r="CX130" s="3">
        <f t="array" ref="CX130">SUMPRODUCT($J130:$U130,TRANSPOSE(CX$3:CX$14))</f>
        <v>0</v>
      </c>
      <c r="CY130" s="3">
        <f t="array" ref="CY130">SUMPRODUCT($J130:$U130,TRANSPOSE(CY$3:CY$14))</f>
        <v>0</v>
      </c>
      <c r="CZ130" s="3">
        <f t="array" ref="CZ130">SUMPRODUCT($J130:$U130,TRANSPOSE(CZ$3:CZ$14))</f>
        <v>0</v>
      </c>
      <c r="DA130" s="3">
        <f t="array" ref="DA130">SUMPRODUCT($J130:$U130,TRANSPOSE(DA$3:DA$14))</f>
        <v>0</v>
      </c>
      <c r="DB130" s="3">
        <f t="array" ref="DB130">SUMPRODUCT($J130:$U130,TRANSPOSE(DB$3:DB$14))</f>
        <v>0</v>
      </c>
      <c r="DC130" s="3">
        <f t="array" ref="DC130">SUMPRODUCT($J130:$U130,TRANSPOSE(DC$3:DC$14))</f>
        <v>0</v>
      </c>
      <c r="DD130" s="3">
        <f t="array" ref="DD130">SUMPRODUCT($J130:$U130,TRANSPOSE(DD$3:DD$14))</f>
        <v>0</v>
      </c>
      <c r="DE130" s="3">
        <f t="array" ref="DE130">SUMPRODUCT($J130:$U130,TRANSPOSE(DE$3:DE$14))</f>
        <v>0</v>
      </c>
    </row>
    <row r="131" spans="1:109" ht="13.5" thickBot="1" x14ac:dyDescent="0.25">
      <c r="A131" s="3">
        <v>391</v>
      </c>
      <c r="B131" s="9" t="s">
        <v>125</v>
      </c>
      <c r="C131" s="3" t="s">
        <v>16</v>
      </c>
      <c r="D131" s="3">
        <v>584100838</v>
      </c>
      <c r="F131" s="3" t="s">
        <v>126</v>
      </c>
      <c r="G131" s="3" t="s">
        <v>14</v>
      </c>
      <c r="H131" s="3">
        <v>2</v>
      </c>
      <c r="I131" s="3">
        <v>7</v>
      </c>
      <c r="J131" s="3">
        <v>3</v>
      </c>
      <c r="K131" s="3">
        <v>2</v>
      </c>
      <c r="L131" s="3">
        <v>0</v>
      </c>
      <c r="M131" s="3">
        <v>0</v>
      </c>
      <c r="N131" s="3">
        <v>2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f t="shared" si="42"/>
        <v>7</v>
      </c>
      <c r="W131" s="3">
        <f t="shared" si="41"/>
        <v>910</v>
      </c>
      <c r="X131" s="6" t="s">
        <v>127</v>
      </c>
      <c r="Y131" s="3">
        <v>1.72</v>
      </c>
      <c r="Z131" s="3" t="s">
        <v>594</v>
      </c>
      <c r="AA131" s="3" t="s">
        <v>128</v>
      </c>
      <c r="AB131" s="3" t="s">
        <v>129</v>
      </c>
      <c r="AC131" s="23" t="s">
        <v>130</v>
      </c>
      <c r="BJ131" s="3">
        <f>SUM($AE131,$AF131:AH131)-SUM($CH131:CK131)</f>
        <v>0</v>
      </c>
      <c r="BK131" s="3">
        <f>SUM($AE131,$AF131:AI131)-SUM($CH131:CL131)</f>
        <v>-40</v>
      </c>
      <c r="BL131" s="3">
        <f>SUM($AE131,$AF131:AJ131)-SUM($CH131:CM131)</f>
        <v>-130</v>
      </c>
      <c r="BM131" s="3">
        <f>SUM($AE131,$AF131:AK131)-SUM($CH131:CN131)</f>
        <v>-235</v>
      </c>
      <c r="BN131" s="3">
        <f>SUM($AE131,$AF131:AL131)-SUM($CH131:CO131)</f>
        <v>-360</v>
      </c>
      <c r="BO131" s="3">
        <f>SUM($AE131,$AF131:AM131)-SUM($CH131:CP131)</f>
        <v>-500</v>
      </c>
      <c r="BP131" s="3">
        <f>SUM($AE131,$AF131:AN131)-SUM($CH131:CQ131)</f>
        <v>-640</v>
      </c>
      <c r="BQ131" s="3">
        <f>SUM($AE131,$AF131:AO131)-SUM($CH131:CR131)</f>
        <v>-780</v>
      </c>
      <c r="BR131" s="3">
        <f>SUM($AE131,$AF131:AP131)-SUM($CH131:CS131)</f>
        <v>-880</v>
      </c>
      <c r="BS131" s="3">
        <f>SUM($AE131,$AF131:AQ131)-SUM($CH131:CT131)</f>
        <v>-910</v>
      </c>
      <c r="BT131" s="3">
        <f>SUM($AE131,$AF131:AR131)-SUM($CH131:CU131)</f>
        <v>-910</v>
      </c>
      <c r="BU131" s="3">
        <f>SUM($AE131,$AF131:AS131)-SUM($CH131:CV131)</f>
        <v>-910</v>
      </c>
      <c r="BV131" s="3">
        <f>SUM($AE131,$AF131:AT131)-SUM($CH131:CW131)</f>
        <v>-910</v>
      </c>
      <c r="BW131" s="3">
        <f>SUM($AE131,$AF131:AU131)-SUM($CH131:CX131)</f>
        <v>-910</v>
      </c>
      <c r="BX131" s="3">
        <f>SUM($AE131,$AF131:AV131)-SUM($CH131:CY131)</f>
        <v>-910</v>
      </c>
      <c r="BY131" s="3">
        <f>SUM($AE131,$AF131:AW131)-SUM($CH131:CZ131)</f>
        <v>-910</v>
      </c>
      <c r="BZ131" s="3">
        <f>SUM($AE131,$AF131:AX131)-SUM($CH131:DA131)</f>
        <v>-910</v>
      </c>
      <c r="CA131" s="3">
        <f>SUM($AE131,$AF131:AY131)-SUM($CH131:DB131)</f>
        <v>-910</v>
      </c>
      <c r="CB131" s="3">
        <f>SUM($AE131,$AF131:AZ131)-SUM($CH131:DC131)</f>
        <v>-910</v>
      </c>
      <c r="CC131" s="3">
        <f>SUM($AE131,$AF131:BA131)-SUM($CH131:DD131)</f>
        <v>-910</v>
      </c>
      <c r="CI131" s="3">
        <f t="array" ref="CI131">SUMPRODUCT($J131:$U131,TRANSPOSE(CI$3:CI$14))</f>
        <v>0</v>
      </c>
      <c r="CJ131" s="3">
        <f t="array" ref="CJ131">SUMPRODUCT($J131:$U131,TRANSPOSE(CJ$3:CJ$14))</f>
        <v>0</v>
      </c>
      <c r="CK131" s="3">
        <f t="array" ref="CK131">SUMPRODUCT($J131:$U131,TRANSPOSE(CK$3:CK$14))</f>
        <v>0</v>
      </c>
      <c r="CL131" s="3">
        <f t="array" ref="CL131">SUMPRODUCT($J131:$U131,TRANSPOSE(CL$3:CL$14))</f>
        <v>40</v>
      </c>
      <c r="CM131" s="3">
        <f t="array" ref="CM131">SUMPRODUCT($J131:$U131,TRANSPOSE(CM$3:CM$14))</f>
        <v>90</v>
      </c>
      <c r="CN131" s="3">
        <f t="array" ref="CN131">SUMPRODUCT($J131:$U131,TRANSPOSE(CN$3:CN$14))</f>
        <v>105</v>
      </c>
      <c r="CO131" s="3">
        <f t="array" ref="CO131">SUMPRODUCT($J131:$U131,TRANSPOSE(CO$3:CO$14))</f>
        <v>125</v>
      </c>
      <c r="CP131" s="3">
        <f t="array" ref="CP131">SUMPRODUCT($J131:$U131,TRANSPOSE(CP$3:CP$14))</f>
        <v>140</v>
      </c>
      <c r="CQ131" s="3">
        <f t="array" ref="CQ131">SUMPRODUCT($J131:$U131,TRANSPOSE(CQ$3:CQ$14))</f>
        <v>140</v>
      </c>
      <c r="CR131" s="3">
        <f t="array" ref="CR131">SUMPRODUCT($J131:$U131,TRANSPOSE(CR$3:CR$14))</f>
        <v>140</v>
      </c>
      <c r="CS131" s="3">
        <f t="array" ref="CS131">SUMPRODUCT($J131:$U131,TRANSPOSE(CS$3:CS$14))</f>
        <v>100</v>
      </c>
      <c r="CT131" s="3">
        <f t="array" ref="CT131">SUMPRODUCT($J131:$U131,TRANSPOSE(CT$3:CT$14))</f>
        <v>30</v>
      </c>
      <c r="CU131" s="3">
        <f t="array" ref="CU131">SUMPRODUCT($J131:$U131,TRANSPOSE(CU$3:CU$14))</f>
        <v>0</v>
      </c>
      <c r="CV131" s="3">
        <f t="array" ref="CV131">SUMPRODUCT($J131:$U131,TRANSPOSE(CV$3:CV$14))</f>
        <v>0</v>
      </c>
      <c r="CW131" s="3">
        <f t="array" ref="CW131">SUMPRODUCT($J131:$U131,TRANSPOSE(CW$3:CW$14))</f>
        <v>0</v>
      </c>
      <c r="CX131" s="3">
        <f t="array" ref="CX131">SUMPRODUCT($J131:$U131,TRANSPOSE(CX$3:CX$14))</f>
        <v>0</v>
      </c>
      <c r="CY131" s="3">
        <f t="array" ref="CY131">SUMPRODUCT($J131:$U131,TRANSPOSE(CY$3:CY$14))</f>
        <v>0</v>
      </c>
      <c r="CZ131" s="3">
        <f t="array" ref="CZ131">SUMPRODUCT($J131:$U131,TRANSPOSE(CZ$3:CZ$14))</f>
        <v>0</v>
      </c>
      <c r="DA131" s="3">
        <f t="array" ref="DA131">SUMPRODUCT($J131:$U131,TRANSPOSE(DA$3:DA$14))</f>
        <v>0</v>
      </c>
      <c r="DB131" s="3">
        <f t="array" ref="DB131">SUMPRODUCT($J131:$U131,TRANSPOSE(DB$3:DB$14))</f>
        <v>0</v>
      </c>
      <c r="DC131" s="3">
        <f t="array" ref="DC131">SUMPRODUCT($J131:$U131,TRANSPOSE(DC$3:DC$14))</f>
        <v>0</v>
      </c>
      <c r="DD131" s="3">
        <f t="array" ref="DD131">SUMPRODUCT($J131:$U131,TRANSPOSE(DD$3:DD$14))</f>
        <v>0</v>
      </c>
      <c r="DE131" s="3">
        <f t="array" ref="DE131">SUMPRODUCT($J131:$U131,TRANSPOSE(DE$3:DE$14))</f>
        <v>0</v>
      </c>
    </row>
    <row r="132" spans="1:109" ht="13.5" thickBot="1" x14ac:dyDescent="0.25">
      <c r="A132" s="3">
        <v>417</v>
      </c>
      <c r="B132" s="9" t="s">
        <v>612</v>
      </c>
      <c r="C132" s="3" t="s">
        <v>16</v>
      </c>
      <c r="D132" s="3">
        <v>400249775</v>
      </c>
      <c r="E132" s="3">
        <v>400275214</v>
      </c>
      <c r="F132" s="3" t="s">
        <v>613</v>
      </c>
      <c r="G132" s="3" t="s">
        <v>14</v>
      </c>
      <c r="H132" s="3">
        <v>2</v>
      </c>
      <c r="I132" s="3">
        <v>2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2</v>
      </c>
      <c r="R132" s="3">
        <v>0</v>
      </c>
      <c r="S132" s="3">
        <v>0</v>
      </c>
      <c r="T132" s="3">
        <v>0</v>
      </c>
      <c r="U132" s="3">
        <v>0</v>
      </c>
      <c r="V132" s="3">
        <f t="shared" si="42"/>
        <v>2</v>
      </c>
      <c r="W132" s="3">
        <f t="shared" si="41"/>
        <v>284</v>
      </c>
      <c r="X132" s="6" t="s">
        <v>141</v>
      </c>
      <c r="Y132" s="3">
        <v>4.0000000000000001E-3</v>
      </c>
      <c r="Z132" s="3" t="s">
        <v>86</v>
      </c>
      <c r="AA132" s="3" t="s">
        <v>87</v>
      </c>
      <c r="AB132" s="3" t="s">
        <v>88</v>
      </c>
      <c r="AC132" s="3" t="s">
        <v>89</v>
      </c>
      <c r="BJ132" s="3">
        <f>SUM($AE132,$AF132:AH132)-SUM($CH132:CK132)</f>
        <v>-20</v>
      </c>
      <c r="BK132" s="3">
        <f>SUM($AE132,$AF132:AI132)-SUM($CH132:CL132)</f>
        <v>-50</v>
      </c>
      <c r="BL132" s="3">
        <f>SUM($AE132,$AF132:AJ132)-SUM($CH132:CM132)</f>
        <v>-84</v>
      </c>
      <c r="BM132" s="3">
        <f>SUM($AE132,$AF132:AK132)-SUM($CH132:CN132)</f>
        <v>-124</v>
      </c>
      <c r="BN132" s="3">
        <f>SUM($AE132,$AF132:AL132)-SUM($CH132:CO132)</f>
        <v>-164</v>
      </c>
      <c r="BO132" s="3">
        <f>SUM($AE132,$AF132:AM132)-SUM($CH132:CP132)</f>
        <v>-204</v>
      </c>
      <c r="BP132" s="3">
        <f>SUM($AE132,$AF132:AN132)-SUM($CH132:CQ132)</f>
        <v>-244</v>
      </c>
      <c r="BQ132" s="3">
        <f>SUM($AE132,$AF132:AO132)-SUM($CH132:CR132)</f>
        <v>-284</v>
      </c>
      <c r="BR132" s="3">
        <f>SUM($AE132,$AF132:AP132)-SUM($CH132:CS132)</f>
        <v>-284</v>
      </c>
      <c r="BS132" s="3">
        <f>SUM($AE132,$AF132:AQ132)-SUM($CH132:CT132)</f>
        <v>-284</v>
      </c>
      <c r="BT132" s="3">
        <f>SUM($AE132,$AF132:AR132)-SUM($CH132:CU132)</f>
        <v>-284</v>
      </c>
      <c r="BU132" s="3">
        <f>SUM($AE132,$AF132:AS132)-SUM($CH132:CV132)</f>
        <v>-284</v>
      </c>
      <c r="BV132" s="3">
        <f>SUM($AE132,$AF132:AT132)-SUM($CH132:CW132)</f>
        <v>-284</v>
      </c>
      <c r="BW132" s="3">
        <f>SUM($AE132,$AF132:AU132)-SUM($CH132:CX132)</f>
        <v>-284</v>
      </c>
      <c r="BX132" s="3">
        <f>SUM($AE132,$AF132:AV132)-SUM($CH132:CY132)</f>
        <v>-284</v>
      </c>
      <c r="BY132" s="3">
        <f>SUM($AE132,$AF132:AW132)-SUM($CH132:CZ132)</f>
        <v>-284</v>
      </c>
      <c r="BZ132" s="3">
        <f>SUM($AE132,$AF132:AX132)-SUM($CH132:DA132)</f>
        <v>-284</v>
      </c>
      <c r="CA132" s="3">
        <f>SUM($AE132,$AF132:AY132)-SUM($CH132:DB132)</f>
        <v>-284</v>
      </c>
      <c r="CB132" s="3">
        <f>SUM($AE132,$AF132:AZ132)-SUM($CH132:DC132)</f>
        <v>-284</v>
      </c>
      <c r="CC132" s="3">
        <f>SUM($AE132,$AF132:BA132)-SUM($CH132:DD132)</f>
        <v>-284</v>
      </c>
      <c r="CI132" s="3">
        <f t="array" ref="CI132">SUMPRODUCT($J132:$U132,TRANSPOSE(CI$3:CI$14))</f>
        <v>0</v>
      </c>
      <c r="CJ132" s="3">
        <f t="array" ref="CJ132">SUMPRODUCT($J132:$U132,TRANSPOSE(CJ$3:CJ$14))</f>
        <v>0</v>
      </c>
      <c r="CK132" s="3">
        <f t="array" ref="CK132">SUMPRODUCT($J132:$U132,TRANSPOSE(CK$3:CK$14))</f>
        <v>20</v>
      </c>
      <c r="CL132" s="3">
        <f t="array" ref="CL132">SUMPRODUCT($J132:$U132,TRANSPOSE(CL$3:CL$14))</f>
        <v>30</v>
      </c>
      <c r="CM132" s="3">
        <f t="array" ref="CM132">SUMPRODUCT($J132:$U132,TRANSPOSE(CM$3:CM$14))</f>
        <v>34</v>
      </c>
      <c r="CN132" s="3">
        <f t="array" ref="CN132">SUMPRODUCT($J132:$U132,TRANSPOSE(CN$3:CN$14))</f>
        <v>40</v>
      </c>
      <c r="CO132" s="3">
        <f t="array" ref="CO132">SUMPRODUCT($J132:$U132,TRANSPOSE(CO$3:CO$14))</f>
        <v>40</v>
      </c>
      <c r="CP132" s="3">
        <f t="array" ref="CP132">SUMPRODUCT($J132:$U132,TRANSPOSE(CP$3:CP$14))</f>
        <v>40</v>
      </c>
      <c r="CQ132" s="3">
        <f t="array" ref="CQ132">SUMPRODUCT($J132:$U132,TRANSPOSE(CQ$3:CQ$14))</f>
        <v>40</v>
      </c>
      <c r="CR132" s="3">
        <f t="array" ref="CR132">SUMPRODUCT($J132:$U132,TRANSPOSE(CR$3:CR$14))</f>
        <v>40</v>
      </c>
      <c r="CS132" s="3">
        <f t="array" ref="CS132">SUMPRODUCT($J132:$U132,TRANSPOSE(CS$3:CS$14))</f>
        <v>0</v>
      </c>
      <c r="CT132" s="3">
        <f t="array" ref="CT132">SUMPRODUCT($J132:$U132,TRANSPOSE(CT$3:CT$14))</f>
        <v>0</v>
      </c>
      <c r="CU132" s="3">
        <f t="array" ref="CU132">SUMPRODUCT($J132:$U132,TRANSPOSE(CU$3:CU$14))</f>
        <v>0</v>
      </c>
      <c r="CV132" s="3">
        <f t="array" ref="CV132">SUMPRODUCT($J132:$U132,TRANSPOSE(CV$3:CV$14))</f>
        <v>0</v>
      </c>
      <c r="CW132" s="3">
        <f t="array" ref="CW132">SUMPRODUCT($J132:$U132,TRANSPOSE(CW$3:CW$14))</f>
        <v>0</v>
      </c>
      <c r="CX132" s="3">
        <f t="array" ref="CX132">SUMPRODUCT($J132:$U132,TRANSPOSE(CX$3:CX$14))</f>
        <v>0</v>
      </c>
      <c r="CY132" s="3">
        <f t="array" ref="CY132">SUMPRODUCT($J132:$U132,TRANSPOSE(CY$3:CY$14))</f>
        <v>0</v>
      </c>
      <c r="CZ132" s="3">
        <f t="array" ref="CZ132">SUMPRODUCT($J132:$U132,TRANSPOSE(CZ$3:CZ$14))</f>
        <v>0</v>
      </c>
      <c r="DA132" s="3">
        <f t="array" ref="DA132">SUMPRODUCT($J132:$U132,TRANSPOSE(DA$3:DA$14))</f>
        <v>0</v>
      </c>
      <c r="DB132" s="3">
        <f t="array" ref="DB132">SUMPRODUCT($J132:$U132,TRANSPOSE(DB$3:DB$14))</f>
        <v>0</v>
      </c>
      <c r="DC132" s="3">
        <f t="array" ref="DC132">SUMPRODUCT($J132:$U132,TRANSPOSE(DC$3:DC$14))</f>
        <v>0</v>
      </c>
      <c r="DD132" s="3">
        <f t="array" ref="DD132">SUMPRODUCT($J132:$U132,TRANSPOSE(DD$3:DD$14))</f>
        <v>0</v>
      </c>
      <c r="DE132" s="3">
        <f t="array" ref="DE132">SUMPRODUCT($J132:$U132,TRANSPOSE(DE$3:DE$14))</f>
        <v>0</v>
      </c>
    </row>
    <row r="133" spans="1:109" ht="13.5" thickBot="1" x14ac:dyDescent="0.25">
      <c r="A133" s="3">
        <v>425</v>
      </c>
      <c r="B133" s="9" t="s">
        <v>614</v>
      </c>
      <c r="C133" s="3" t="s">
        <v>16</v>
      </c>
      <c r="D133" s="3">
        <v>400249781</v>
      </c>
      <c r="E133" s="3" t="s">
        <v>146</v>
      </c>
      <c r="F133" s="3" t="s">
        <v>615</v>
      </c>
      <c r="G133" s="3" t="s">
        <v>14</v>
      </c>
      <c r="H133" s="3">
        <v>2</v>
      </c>
      <c r="I133" s="3">
        <v>9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9</v>
      </c>
      <c r="R133" s="3">
        <v>0</v>
      </c>
      <c r="S133" s="3">
        <v>0</v>
      </c>
      <c r="T133" s="3">
        <v>0</v>
      </c>
      <c r="U133" s="3">
        <v>0</v>
      </c>
      <c r="V133" s="3">
        <f t="shared" si="42"/>
        <v>9</v>
      </c>
      <c r="W133" s="3">
        <f t="shared" si="41"/>
        <v>1278</v>
      </c>
      <c r="X133" s="6" t="s">
        <v>141</v>
      </c>
      <c r="Y133" s="3">
        <v>4.0000000000000001E-3</v>
      </c>
      <c r="Z133" s="3" t="s">
        <v>86</v>
      </c>
      <c r="AA133" s="3" t="s">
        <v>87</v>
      </c>
      <c r="AB133" s="3" t="s">
        <v>88</v>
      </c>
      <c r="AC133" s="3" t="s">
        <v>89</v>
      </c>
      <c r="BJ133" s="3">
        <f>SUM($AE133,$AF133:AH133)-SUM($CH133:CK133)</f>
        <v>-90</v>
      </c>
      <c r="BK133" s="3">
        <f>SUM($AE133,$AF133:AI133)-SUM($CH133:CL133)</f>
        <v>-225</v>
      </c>
      <c r="BL133" s="3">
        <f>SUM($AE133,$AF133:AJ133)-SUM($CH133:CM133)</f>
        <v>-378</v>
      </c>
      <c r="BM133" s="3">
        <f>SUM($AE133,$AF133:AK133)-SUM($CH133:CN133)</f>
        <v>-558</v>
      </c>
      <c r="BN133" s="3">
        <f>SUM($AE133,$AF133:AL133)-SUM($CH133:CO133)</f>
        <v>-738</v>
      </c>
      <c r="BO133" s="3">
        <f>SUM($AE133,$AF133:AM133)-SUM($CH133:CP133)</f>
        <v>-918</v>
      </c>
      <c r="BP133" s="3">
        <f>SUM($AE133,$AF133:AN133)-SUM($CH133:CQ133)</f>
        <v>-1098</v>
      </c>
      <c r="BQ133" s="3">
        <f>SUM($AE133,$AF133:AO133)-SUM($CH133:CR133)</f>
        <v>-1278</v>
      </c>
      <c r="BR133" s="3">
        <f>SUM($AE133,$AF133:AP133)-SUM($CH133:CS133)</f>
        <v>-1278</v>
      </c>
      <c r="BS133" s="3">
        <f>SUM($AE133,$AF133:AQ133)-SUM($CH133:CT133)</f>
        <v>-1278</v>
      </c>
      <c r="BT133" s="3">
        <f>SUM($AE133,$AF133:AR133)-SUM($CH133:CU133)</f>
        <v>-1278</v>
      </c>
      <c r="BU133" s="3">
        <f>SUM($AE133,$AF133:AS133)-SUM($CH133:CV133)</f>
        <v>-1278</v>
      </c>
      <c r="BV133" s="3">
        <f>SUM($AE133,$AF133:AT133)-SUM($CH133:CW133)</f>
        <v>-1278</v>
      </c>
      <c r="BW133" s="3">
        <f>SUM($AE133,$AF133:AU133)-SUM($CH133:CX133)</f>
        <v>-1278</v>
      </c>
      <c r="BX133" s="3">
        <f>SUM($AE133,$AF133:AV133)-SUM($CH133:CY133)</f>
        <v>-1278</v>
      </c>
      <c r="BY133" s="3">
        <f>SUM($AE133,$AF133:AW133)-SUM($CH133:CZ133)</f>
        <v>-1278</v>
      </c>
      <c r="BZ133" s="3">
        <f>SUM($AE133,$AF133:AX133)-SUM($CH133:DA133)</f>
        <v>-1278</v>
      </c>
      <c r="CA133" s="3">
        <f>SUM($AE133,$AF133:AY133)-SUM($CH133:DB133)</f>
        <v>-1278</v>
      </c>
      <c r="CB133" s="3">
        <f>SUM($AE133,$AF133:AZ133)-SUM($CH133:DC133)</f>
        <v>-1278</v>
      </c>
      <c r="CC133" s="3">
        <f>SUM($AE133,$AF133:BA133)-SUM($CH133:DD133)</f>
        <v>-1278</v>
      </c>
      <c r="CI133" s="3">
        <f t="array" ref="CI133">SUMPRODUCT($J133:$U133,TRANSPOSE(CI$3:CI$14))</f>
        <v>0</v>
      </c>
      <c r="CJ133" s="3">
        <f t="array" ref="CJ133">SUMPRODUCT($J133:$U133,TRANSPOSE(CJ$3:CJ$14))</f>
        <v>0</v>
      </c>
      <c r="CK133" s="3">
        <f t="array" ref="CK133">SUMPRODUCT($J133:$U133,TRANSPOSE(CK$3:CK$14))</f>
        <v>90</v>
      </c>
      <c r="CL133" s="3">
        <f t="array" ref="CL133">SUMPRODUCT($J133:$U133,TRANSPOSE(CL$3:CL$14))</f>
        <v>135</v>
      </c>
      <c r="CM133" s="3">
        <f t="array" ref="CM133">SUMPRODUCT($J133:$U133,TRANSPOSE(CM$3:CM$14))</f>
        <v>153</v>
      </c>
      <c r="CN133" s="3">
        <f t="array" ref="CN133">SUMPRODUCT($J133:$U133,TRANSPOSE(CN$3:CN$14))</f>
        <v>180</v>
      </c>
      <c r="CO133" s="3">
        <f t="array" ref="CO133">SUMPRODUCT($J133:$U133,TRANSPOSE(CO$3:CO$14))</f>
        <v>180</v>
      </c>
      <c r="CP133" s="3">
        <f t="array" ref="CP133">SUMPRODUCT($J133:$U133,TRANSPOSE(CP$3:CP$14))</f>
        <v>180</v>
      </c>
      <c r="CQ133" s="3">
        <f t="array" ref="CQ133">SUMPRODUCT($J133:$U133,TRANSPOSE(CQ$3:CQ$14))</f>
        <v>180</v>
      </c>
      <c r="CR133" s="3">
        <f t="array" ref="CR133">SUMPRODUCT($J133:$U133,TRANSPOSE(CR$3:CR$14))</f>
        <v>180</v>
      </c>
      <c r="CS133" s="3">
        <f t="array" ref="CS133">SUMPRODUCT($J133:$U133,TRANSPOSE(CS$3:CS$14))</f>
        <v>0</v>
      </c>
      <c r="CT133" s="3">
        <f t="array" ref="CT133">SUMPRODUCT($J133:$U133,TRANSPOSE(CT$3:CT$14))</f>
        <v>0</v>
      </c>
      <c r="CU133" s="3">
        <f t="array" ref="CU133">SUMPRODUCT($J133:$U133,TRANSPOSE(CU$3:CU$14))</f>
        <v>0</v>
      </c>
      <c r="CV133" s="3">
        <f t="array" ref="CV133">SUMPRODUCT($J133:$U133,TRANSPOSE(CV$3:CV$14))</f>
        <v>0</v>
      </c>
      <c r="CW133" s="3">
        <f t="array" ref="CW133">SUMPRODUCT($J133:$U133,TRANSPOSE(CW$3:CW$14))</f>
        <v>0</v>
      </c>
      <c r="CX133" s="3">
        <f t="array" ref="CX133">SUMPRODUCT($J133:$U133,TRANSPOSE(CX$3:CX$14))</f>
        <v>0</v>
      </c>
      <c r="CY133" s="3">
        <f t="array" ref="CY133">SUMPRODUCT($J133:$U133,TRANSPOSE(CY$3:CY$14))</f>
        <v>0</v>
      </c>
      <c r="CZ133" s="3">
        <f t="array" ref="CZ133">SUMPRODUCT($J133:$U133,TRANSPOSE(CZ$3:CZ$14))</f>
        <v>0</v>
      </c>
      <c r="DA133" s="3">
        <f t="array" ref="DA133">SUMPRODUCT($J133:$U133,TRANSPOSE(DA$3:DA$14))</f>
        <v>0</v>
      </c>
      <c r="DB133" s="3">
        <f t="array" ref="DB133">SUMPRODUCT($J133:$U133,TRANSPOSE(DB$3:DB$14))</f>
        <v>0</v>
      </c>
      <c r="DC133" s="3">
        <f t="array" ref="DC133">SUMPRODUCT($J133:$U133,TRANSPOSE(DC$3:DC$14))</f>
        <v>0</v>
      </c>
      <c r="DD133" s="3">
        <f t="array" ref="DD133">SUMPRODUCT($J133:$U133,TRANSPOSE(DD$3:DD$14))</f>
        <v>0</v>
      </c>
      <c r="DE133" s="3">
        <f t="array" ref="DE133">SUMPRODUCT($J133:$U133,TRANSPOSE(DE$3:DE$14))</f>
        <v>0</v>
      </c>
    </row>
    <row r="134" spans="1:109" ht="13.5" thickBot="1" x14ac:dyDescent="0.25">
      <c r="A134" s="3">
        <v>513</v>
      </c>
      <c r="B134" s="9" t="s">
        <v>616</v>
      </c>
      <c r="C134" s="3" t="s">
        <v>16</v>
      </c>
      <c r="D134" s="3" t="s">
        <v>617</v>
      </c>
      <c r="F134" s="3" t="s">
        <v>618</v>
      </c>
      <c r="G134" s="3" t="s">
        <v>14</v>
      </c>
      <c r="H134" s="3">
        <v>2</v>
      </c>
      <c r="I134" s="3">
        <v>1</v>
      </c>
      <c r="J134" s="3">
        <v>1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f t="shared" si="42"/>
        <v>1</v>
      </c>
      <c r="W134" s="3">
        <f t="shared" si="41"/>
        <v>130</v>
      </c>
      <c r="X134" s="6" t="s">
        <v>226</v>
      </c>
      <c r="Y134" s="3">
        <v>6.92</v>
      </c>
      <c r="Z134" s="3" t="s">
        <v>619</v>
      </c>
      <c r="AA134" s="3" t="s">
        <v>620</v>
      </c>
      <c r="AB134" s="3" t="s">
        <v>621</v>
      </c>
      <c r="AC134" s="3" t="s">
        <v>622</v>
      </c>
      <c r="BJ134" s="3">
        <f>SUM($AE134,$AF134:AH134)-SUM($CH134:CK134)</f>
        <v>0</v>
      </c>
      <c r="BK134" s="3">
        <f>SUM($AE134,$AF134:AI134)-SUM($CH134:CL134)</f>
        <v>0</v>
      </c>
      <c r="BL134" s="3">
        <f>SUM($AE134,$AF134:AJ134)-SUM($CH134:CM134)</f>
        <v>-10</v>
      </c>
      <c r="BM134" s="3">
        <f>SUM($AE134,$AF134:AK134)-SUM($CH134:CN134)</f>
        <v>-25</v>
      </c>
      <c r="BN134" s="3">
        <f>SUM($AE134,$AF134:AL134)-SUM($CH134:CO134)</f>
        <v>-40</v>
      </c>
      <c r="BO134" s="3">
        <f>SUM($AE134,$AF134:AM134)-SUM($CH134:CP134)</f>
        <v>-60</v>
      </c>
      <c r="BP134" s="3">
        <f>SUM($AE134,$AF134:AN134)-SUM($CH134:CQ134)</f>
        <v>-80</v>
      </c>
      <c r="BQ134" s="3">
        <f>SUM($AE134,$AF134:AO134)-SUM($CH134:CR134)</f>
        <v>-100</v>
      </c>
      <c r="BR134" s="3">
        <f>SUM($AE134,$AF134:AP134)-SUM($CH134:CS134)</f>
        <v>-120</v>
      </c>
      <c r="BS134" s="3">
        <f>SUM($AE134,$AF134:AQ134)-SUM($CH134:CT134)</f>
        <v>-130</v>
      </c>
      <c r="BT134" s="3">
        <f>SUM($AE134,$AF134:AR134)-SUM($CH134:CU134)</f>
        <v>-130</v>
      </c>
      <c r="BU134" s="3">
        <f>SUM($AE134,$AF134:AS134)-SUM($CH134:CV134)</f>
        <v>-130</v>
      </c>
      <c r="BV134" s="3">
        <f>SUM($AE134,$AF134:AT134)-SUM($CH134:CW134)</f>
        <v>-130</v>
      </c>
      <c r="BW134" s="3">
        <f>SUM($AE134,$AF134:AU134)-SUM($CH134:CX134)</f>
        <v>-130</v>
      </c>
      <c r="BX134" s="3">
        <f>SUM($AE134,$AF134:AV134)-SUM($CH134:CY134)</f>
        <v>-130</v>
      </c>
      <c r="BY134" s="3">
        <f>SUM($AE134,$AF134:AW134)-SUM($CH134:CZ134)</f>
        <v>-130</v>
      </c>
      <c r="BZ134" s="3">
        <f>SUM($AE134,$AF134:AX134)-SUM($CH134:DA134)</f>
        <v>-130</v>
      </c>
      <c r="CA134" s="3">
        <f>SUM($AE134,$AF134:AY134)-SUM($CH134:DB134)</f>
        <v>-130</v>
      </c>
      <c r="CB134" s="3">
        <f>SUM($AE134,$AF134:AZ134)-SUM($CH134:DC134)</f>
        <v>-130</v>
      </c>
      <c r="CC134" s="3">
        <f>SUM($AE134,$AF134:BA134)-SUM($CH134:DD134)</f>
        <v>-130</v>
      </c>
      <c r="CI134" s="3">
        <f t="array" ref="CI134">SUMPRODUCT($J134:$U134,TRANSPOSE(CI$3:CI$14))</f>
        <v>0</v>
      </c>
      <c r="CJ134" s="3">
        <f t="array" ref="CJ134">SUMPRODUCT($J134:$U134,TRANSPOSE(CJ$3:CJ$14))</f>
        <v>0</v>
      </c>
      <c r="CK134" s="3">
        <f t="array" ref="CK134">SUMPRODUCT($J134:$U134,TRANSPOSE(CK$3:CK$14))</f>
        <v>0</v>
      </c>
      <c r="CL134" s="3">
        <f t="array" ref="CL134">SUMPRODUCT($J134:$U134,TRANSPOSE(CL$3:CL$14))</f>
        <v>0</v>
      </c>
      <c r="CM134" s="3">
        <f t="array" ref="CM134">SUMPRODUCT($J134:$U134,TRANSPOSE(CM$3:CM$14))</f>
        <v>10</v>
      </c>
      <c r="CN134" s="3">
        <f t="array" ref="CN134">SUMPRODUCT($J134:$U134,TRANSPOSE(CN$3:CN$14))</f>
        <v>15</v>
      </c>
      <c r="CO134" s="3">
        <f t="array" ref="CO134">SUMPRODUCT($J134:$U134,TRANSPOSE(CO$3:CO$14))</f>
        <v>15</v>
      </c>
      <c r="CP134" s="3">
        <f t="array" ref="CP134">SUMPRODUCT($J134:$U134,TRANSPOSE(CP$3:CP$14))</f>
        <v>20</v>
      </c>
      <c r="CQ134" s="3">
        <f t="array" ref="CQ134">SUMPRODUCT($J134:$U134,TRANSPOSE(CQ$3:CQ$14))</f>
        <v>20</v>
      </c>
      <c r="CR134" s="3">
        <f t="array" ref="CR134">SUMPRODUCT($J134:$U134,TRANSPOSE(CR$3:CR$14))</f>
        <v>20</v>
      </c>
      <c r="CS134" s="3">
        <f t="array" ref="CS134">SUMPRODUCT($J134:$U134,TRANSPOSE(CS$3:CS$14))</f>
        <v>20</v>
      </c>
      <c r="CT134" s="3">
        <f t="array" ref="CT134">SUMPRODUCT($J134:$U134,TRANSPOSE(CT$3:CT$14))</f>
        <v>10</v>
      </c>
      <c r="CU134" s="3">
        <f t="array" ref="CU134">SUMPRODUCT($J134:$U134,TRANSPOSE(CU$3:CU$14))</f>
        <v>0</v>
      </c>
      <c r="CV134" s="3">
        <f t="array" ref="CV134">SUMPRODUCT($J134:$U134,TRANSPOSE(CV$3:CV$14))</f>
        <v>0</v>
      </c>
      <c r="CW134" s="3">
        <f t="array" ref="CW134">SUMPRODUCT($J134:$U134,TRANSPOSE(CW$3:CW$14))</f>
        <v>0</v>
      </c>
      <c r="CX134" s="3">
        <f t="array" ref="CX134">SUMPRODUCT($J134:$U134,TRANSPOSE(CX$3:CX$14))</f>
        <v>0</v>
      </c>
      <c r="CY134" s="3">
        <f t="array" ref="CY134">SUMPRODUCT($J134:$U134,TRANSPOSE(CY$3:CY$14))</f>
        <v>0</v>
      </c>
      <c r="CZ134" s="3">
        <f t="array" ref="CZ134">SUMPRODUCT($J134:$U134,TRANSPOSE(CZ$3:CZ$14))</f>
        <v>0</v>
      </c>
      <c r="DA134" s="3">
        <f t="array" ref="DA134">SUMPRODUCT($J134:$U134,TRANSPOSE(DA$3:DA$14))</f>
        <v>0</v>
      </c>
      <c r="DB134" s="3">
        <f t="array" ref="DB134">SUMPRODUCT($J134:$U134,TRANSPOSE(DB$3:DB$14))</f>
        <v>0</v>
      </c>
      <c r="DC134" s="3">
        <f t="array" ref="DC134">SUMPRODUCT($J134:$U134,TRANSPOSE(DC$3:DC$14))</f>
        <v>0</v>
      </c>
      <c r="DD134" s="3">
        <f t="array" ref="DD134">SUMPRODUCT($J134:$U134,TRANSPOSE(DD$3:DD$14))</f>
        <v>0</v>
      </c>
      <c r="DE134" s="3">
        <f t="array" ref="DE134">SUMPRODUCT($J134:$U134,TRANSPOSE(DE$3:DE$14))</f>
        <v>0</v>
      </c>
    </row>
    <row r="135" spans="1:109" ht="13.5" thickBot="1" x14ac:dyDescent="0.25">
      <c r="A135" s="3">
        <v>514</v>
      </c>
      <c r="B135" s="9" t="s">
        <v>231</v>
      </c>
      <c r="C135" s="3" t="s">
        <v>16</v>
      </c>
      <c r="D135" s="3" t="s">
        <v>232</v>
      </c>
      <c r="F135" s="3" t="s">
        <v>233</v>
      </c>
      <c r="G135" s="3" t="s">
        <v>14</v>
      </c>
      <c r="H135" s="3">
        <v>2</v>
      </c>
      <c r="I135" s="3">
        <v>2</v>
      </c>
      <c r="J135" s="3">
        <v>2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f t="shared" si="42"/>
        <v>2</v>
      </c>
      <c r="W135" s="3">
        <f t="shared" si="41"/>
        <v>260</v>
      </c>
      <c r="X135" s="6" t="s">
        <v>226</v>
      </c>
      <c r="Y135" s="3">
        <v>7.5</v>
      </c>
      <c r="Z135" s="3" t="s">
        <v>227</v>
      </c>
      <c r="AA135" s="3" t="s">
        <v>228</v>
      </c>
      <c r="AB135" s="3" t="s">
        <v>229</v>
      </c>
      <c r="AC135" s="3" t="s">
        <v>230</v>
      </c>
      <c r="BJ135" s="3">
        <f>SUM($AE135,$AF135:AH135)-SUM($CH135:CK135)</f>
        <v>0</v>
      </c>
      <c r="BK135" s="3">
        <f>SUM($AE135,$AF135:AI135)-SUM($CH135:CL135)</f>
        <v>0</v>
      </c>
      <c r="BL135" s="3">
        <f>SUM($AE135,$AF135:AJ135)-SUM($CH135:CM135)</f>
        <v>-20</v>
      </c>
      <c r="BM135" s="3">
        <f>SUM($AE135,$AF135:AK135)-SUM($CH135:CN135)</f>
        <v>-50</v>
      </c>
      <c r="BN135" s="3">
        <f>SUM($AE135,$AF135:AL135)-SUM($CH135:CO135)</f>
        <v>-80</v>
      </c>
      <c r="BO135" s="3">
        <f>SUM($AE135,$AF135:AM135)-SUM($CH135:CP135)</f>
        <v>-120</v>
      </c>
      <c r="BP135" s="3">
        <f>SUM($AE135,$AF135:AN135)-SUM($CH135:CQ135)</f>
        <v>-160</v>
      </c>
      <c r="BQ135" s="3">
        <f>SUM($AE135,$AF135:AO135)-SUM($CH135:CR135)</f>
        <v>-200</v>
      </c>
      <c r="BR135" s="3">
        <f>SUM($AE135,$AF135:AP135)-SUM($CH135:CS135)</f>
        <v>-240</v>
      </c>
      <c r="BS135" s="3">
        <f>SUM($AE135,$AF135:AQ135)-SUM($CH135:CT135)</f>
        <v>-260</v>
      </c>
      <c r="BT135" s="3">
        <f>SUM($AE135,$AF135:AR135)-SUM($CH135:CU135)</f>
        <v>-260</v>
      </c>
      <c r="BU135" s="3">
        <f>SUM($AE135,$AF135:AS135)-SUM($CH135:CV135)</f>
        <v>-260</v>
      </c>
      <c r="BV135" s="3">
        <f>SUM($AE135,$AF135:AT135)-SUM($CH135:CW135)</f>
        <v>-260</v>
      </c>
      <c r="BW135" s="3">
        <f>SUM($AE135,$AF135:AU135)-SUM($CH135:CX135)</f>
        <v>-260</v>
      </c>
      <c r="BX135" s="3">
        <f>SUM($AE135,$AF135:AV135)-SUM($CH135:CY135)</f>
        <v>-260</v>
      </c>
      <c r="BY135" s="3">
        <f>SUM($AE135,$AF135:AW135)-SUM($CH135:CZ135)</f>
        <v>-260</v>
      </c>
      <c r="BZ135" s="3">
        <f>SUM($AE135,$AF135:AX135)-SUM($CH135:DA135)</f>
        <v>-260</v>
      </c>
      <c r="CA135" s="3">
        <f>SUM($AE135,$AF135:AY135)-SUM($CH135:DB135)</f>
        <v>-260</v>
      </c>
      <c r="CB135" s="3">
        <f>SUM($AE135,$AF135:AZ135)-SUM($CH135:DC135)</f>
        <v>-260</v>
      </c>
      <c r="CC135" s="3">
        <f>SUM($AE135,$AF135:BA135)-SUM($CH135:DD135)</f>
        <v>-260</v>
      </c>
      <c r="CI135" s="3">
        <f t="array" ref="CI135">SUMPRODUCT($J135:$U135,TRANSPOSE(CI$3:CI$14))</f>
        <v>0</v>
      </c>
      <c r="CJ135" s="3">
        <f t="array" ref="CJ135">SUMPRODUCT($J135:$U135,TRANSPOSE(CJ$3:CJ$14))</f>
        <v>0</v>
      </c>
      <c r="CK135" s="3">
        <f t="array" ref="CK135">SUMPRODUCT($J135:$U135,TRANSPOSE(CK$3:CK$14))</f>
        <v>0</v>
      </c>
      <c r="CL135" s="3">
        <f t="array" ref="CL135">SUMPRODUCT($J135:$U135,TRANSPOSE(CL$3:CL$14))</f>
        <v>0</v>
      </c>
      <c r="CM135" s="3">
        <f t="array" ref="CM135">SUMPRODUCT($J135:$U135,TRANSPOSE(CM$3:CM$14))</f>
        <v>20</v>
      </c>
      <c r="CN135" s="3">
        <f t="array" ref="CN135">SUMPRODUCT($J135:$U135,TRANSPOSE(CN$3:CN$14))</f>
        <v>30</v>
      </c>
      <c r="CO135" s="3">
        <f t="array" ref="CO135">SUMPRODUCT($J135:$U135,TRANSPOSE(CO$3:CO$14))</f>
        <v>30</v>
      </c>
      <c r="CP135" s="3">
        <f t="array" ref="CP135">SUMPRODUCT($J135:$U135,TRANSPOSE(CP$3:CP$14))</f>
        <v>40</v>
      </c>
      <c r="CQ135" s="3">
        <f t="array" ref="CQ135">SUMPRODUCT($J135:$U135,TRANSPOSE(CQ$3:CQ$14))</f>
        <v>40</v>
      </c>
      <c r="CR135" s="3">
        <f t="array" ref="CR135">SUMPRODUCT($J135:$U135,TRANSPOSE(CR$3:CR$14))</f>
        <v>40</v>
      </c>
      <c r="CS135" s="3">
        <f t="array" ref="CS135">SUMPRODUCT($J135:$U135,TRANSPOSE(CS$3:CS$14))</f>
        <v>40</v>
      </c>
      <c r="CT135" s="3">
        <f t="array" ref="CT135">SUMPRODUCT($J135:$U135,TRANSPOSE(CT$3:CT$14))</f>
        <v>20</v>
      </c>
      <c r="CU135" s="3">
        <f t="array" ref="CU135">SUMPRODUCT($J135:$U135,TRANSPOSE(CU$3:CU$14))</f>
        <v>0</v>
      </c>
      <c r="CV135" s="3">
        <f t="array" ref="CV135">SUMPRODUCT($J135:$U135,TRANSPOSE(CV$3:CV$14))</f>
        <v>0</v>
      </c>
      <c r="CW135" s="3">
        <f t="array" ref="CW135">SUMPRODUCT($J135:$U135,TRANSPOSE(CW$3:CW$14))</f>
        <v>0</v>
      </c>
      <c r="CX135" s="3">
        <f t="array" ref="CX135">SUMPRODUCT($J135:$U135,TRANSPOSE(CX$3:CX$14))</f>
        <v>0</v>
      </c>
      <c r="CY135" s="3">
        <f t="array" ref="CY135">SUMPRODUCT($J135:$U135,TRANSPOSE(CY$3:CY$14))</f>
        <v>0</v>
      </c>
      <c r="CZ135" s="3">
        <f t="array" ref="CZ135">SUMPRODUCT($J135:$U135,TRANSPOSE(CZ$3:CZ$14))</f>
        <v>0</v>
      </c>
      <c r="DA135" s="3">
        <f t="array" ref="DA135">SUMPRODUCT($J135:$U135,TRANSPOSE(DA$3:DA$14))</f>
        <v>0</v>
      </c>
      <c r="DB135" s="3">
        <f t="array" ref="DB135">SUMPRODUCT($J135:$U135,TRANSPOSE(DB$3:DB$14))</f>
        <v>0</v>
      </c>
      <c r="DC135" s="3">
        <f t="array" ref="DC135">SUMPRODUCT($J135:$U135,TRANSPOSE(DC$3:DC$14))</f>
        <v>0</v>
      </c>
      <c r="DD135" s="3">
        <f t="array" ref="DD135">SUMPRODUCT($J135:$U135,TRANSPOSE(DD$3:DD$14))</f>
        <v>0</v>
      </c>
      <c r="DE135" s="3">
        <f t="array" ref="DE135">SUMPRODUCT($J135:$U135,TRANSPOSE(DE$3:DE$14))</f>
        <v>0</v>
      </c>
    </row>
    <row r="136" spans="1:109" ht="13.5" thickBot="1" x14ac:dyDescent="0.25">
      <c r="A136" s="3">
        <v>518</v>
      </c>
      <c r="B136" s="9" t="s">
        <v>234</v>
      </c>
      <c r="C136" s="3" t="s">
        <v>95</v>
      </c>
      <c r="D136" s="3">
        <v>400176910</v>
      </c>
      <c r="E136" s="3">
        <v>400032153</v>
      </c>
      <c r="F136" s="3" t="s">
        <v>235</v>
      </c>
      <c r="G136" s="3" t="s">
        <v>14</v>
      </c>
      <c r="H136" s="3">
        <v>2</v>
      </c>
      <c r="I136" s="3">
        <v>40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12</v>
      </c>
      <c r="S136" s="3">
        <v>12</v>
      </c>
      <c r="T136" s="3">
        <v>0</v>
      </c>
      <c r="U136" s="3">
        <v>12</v>
      </c>
      <c r="V136" s="3">
        <f t="shared" si="42"/>
        <v>36</v>
      </c>
      <c r="W136" s="3">
        <f t="shared" si="41"/>
        <v>4860</v>
      </c>
      <c r="X136" s="6" t="s">
        <v>236</v>
      </c>
      <c r="Y136" s="3">
        <v>8.59</v>
      </c>
      <c r="Z136" s="3" t="s">
        <v>594</v>
      </c>
      <c r="AA136" s="3" t="s">
        <v>128</v>
      </c>
      <c r="AB136" s="3" t="s">
        <v>129</v>
      </c>
      <c r="AC136" s="23" t="s">
        <v>130</v>
      </c>
      <c r="BJ136" s="3">
        <f>SUM($AE136,$AF136:AH136)-SUM($CH136:CK136)</f>
        <v>-120</v>
      </c>
      <c r="BK136" s="3">
        <f>SUM($AE136,$AF136:AI136)-SUM($CH136:CL136)</f>
        <v>-540</v>
      </c>
      <c r="BL136" s="3">
        <f>SUM($AE136,$AF136:AJ136)-SUM($CH136:CM136)</f>
        <v>-1140</v>
      </c>
      <c r="BM136" s="3">
        <f>SUM($AE136,$AF136:AK136)-SUM($CH136:CN136)</f>
        <v>-1740</v>
      </c>
      <c r="BN136" s="3">
        <f>SUM($AE136,$AF136:AL136)-SUM($CH136:CO136)</f>
        <v>-2460</v>
      </c>
      <c r="BO136" s="3">
        <f>SUM($AE136,$AF136:AM136)-SUM($CH136:CP136)</f>
        <v>-3180</v>
      </c>
      <c r="BP136" s="3">
        <f>SUM($AE136,$AF136:AN136)-SUM($CH136:CQ136)</f>
        <v>-3900</v>
      </c>
      <c r="BQ136" s="3">
        <f>SUM($AE136,$AF136:AO136)-SUM($CH136:CR136)</f>
        <v>-4620</v>
      </c>
      <c r="BR136" s="3">
        <f>SUM($AE136,$AF136:AP136)-SUM($CH136:CS136)</f>
        <v>-4860</v>
      </c>
      <c r="BS136" s="3">
        <f>SUM($AE136,$AF136:AQ136)-SUM($CH136:CT136)</f>
        <v>-4860</v>
      </c>
      <c r="BT136" s="3">
        <f>SUM($AE136,$AF136:AR136)-SUM($CH136:CU136)</f>
        <v>-4860</v>
      </c>
      <c r="BU136" s="3">
        <f>SUM($AE136,$AF136:AS136)-SUM($CH136:CV136)</f>
        <v>-4860</v>
      </c>
      <c r="BV136" s="3">
        <f>SUM($AE136,$AF136:AT136)-SUM($CH136:CW136)</f>
        <v>-4860</v>
      </c>
      <c r="BW136" s="3">
        <f>SUM($AE136,$AF136:AU136)-SUM($CH136:CX136)</f>
        <v>-4860</v>
      </c>
      <c r="BX136" s="3">
        <f>SUM($AE136,$AF136:AV136)-SUM($CH136:CY136)</f>
        <v>-4860</v>
      </c>
      <c r="BY136" s="3">
        <f>SUM($AE136,$AF136:AW136)-SUM($CH136:CZ136)</f>
        <v>-4860</v>
      </c>
      <c r="BZ136" s="3">
        <f>SUM($AE136,$AF136:AX136)-SUM($CH136:DA136)</f>
        <v>-4860</v>
      </c>
      <c r="CA136" s="3">
        <f>SUM($AE136,$AF136:AY136)-SUM($CH136:DB136)</f>
        <v>-4860</v>
      </c>
      <c r="CB136" s="3">
        <f>SUM($AE136,$AF136:AZ136)-SUM($CH136:DC136)</f>
        <v>-4860</v>
      </c>
      <c r="CC136" s="3">
        <f>SUM($AE136,$AF136:BA136)-SUM($CH136:DD136)</f>
        <v>-4860</v>
      </c>
      <c r="CI136" s="3">
        <f t="array" ref="CI136">SUMPRODUCT($J136:$U136,TRANSPOSE(CI$3:CI$14))</f>
        <v>0</v>
      </c>
      <c r="CJ136" s="3">
        <f t="array" ref="CJ136">SUMPRODUCT($J136:$U136,TRANSPOSE(CJ$3:CJ$14))</f>
        <v>0</v>
      </c>
      <c r="CK136" s="3">
        <f t="array" ref="CK136">SUMPRODUCT($J136:$U136,TRANSPOSE(CK$3:CK$14))</f>
        <v>120</v>
      </c>
      <c r="CL136" s="3">
        <f t="array" ref="CL136">SUMPRODUCT($J136:$U136,TRANSPOSE(CL$3:CL$14))</f>
        <v>420</v>
      </c>
      <c r="CM136" s="3">
        <f t="array" ref="CM136">SUMPRODUCT($J136:$U136,TRANSPOSE(CM$3:CM$14))</f>
        <v>600</v>
      </c>
      <c r="CN136" s="3">
        <f t="array" ref="CN136">SUMPRODUCT($J136:$U136,TRANSPOSE(CN$3:CN$14))</f>
        <v>600</v>
      </c>
      <c r="CO136" s="3">
        <f t="array" ref="CO136">SUMPRODUCT($J136:$U136,TRANSPOSE(CO$3:CO$14))</f>
        <v>720</v>
      </c>
      <c r="CP136" s="3">
        <f t="array" ref="CP136">SUMPRODUCT($J136:$U136,TRANSPOSE(CP$3:CP$14))</f>
        <v>720</v>
      </c>
      <c r="CQ136" s="3">
        <f t="array" ref="CQ136">SUMPRODUCT($J136:$U136,TRANSPOSE(CQ$3:CQ$14))</f>
        <v>720</v>
      </c>
      <c r="CR136" s="3">
        <f t="array" ref="CR136">SUMPRODUCT($J136:$U136,TRANSPOSE(CR$3:CR$14))</f>
        <v>720</v>
      </c>
      <c r="CS136" s="3">
        <f t="array" ref="CS136">SUMPRODUCT($J136:$U136,TRANSPOSE(CS$3:CS$14))</f>
        <v>240</v>
      </c>
      <c r="CT136" s="3">
        <f t="array" ref="CT136">SUMPRODUCT($J136:$U136,TRANSPOSE(CT$3:CT$14))</f>
        <v>0</v>
      </c>
      <c r="CU136" s="3">
        <f t="array" ref="CU136">SUMPRODUCT($J136:$U136,TRANSPOSE(CU$3:CU$14))</f>
        <v>0</v>
      </c>
      <c r="CV136" s="3">
        <f t="array" ref="CV136">SUMPRODUCT($J136:$U136,TRANSPOSE(CV$3:CV$14))</f>
        <v>0</v>
      </c>
      <c r="CW136" s="3">
        <f t="array" ref="CW136">SUMPRODUCT($J136:$U136,TRANSPOSE(CW$3:CW$14))</f>
        <v>0</v>
      </c>
      <c r="CX136" s="3">
        <f t="array" ref="CX136">SUMPRODUCT($J136:$U136,TRANSPOSE(CX$3:CX$14))</f>
        <v>0</v>
      </c>
      <c r="CY136" s="3">
        <f t="array" ref="CY136">SUMPRODUCT($J136:$U136,TRANSPOSE(CY$3:CY$14))</f>
        <v>0</v>
      </c>
      <c r="CZ136" s="3">
        <f t="array" ref="CZ136">SUMPRODUCT($J136:$U136,TRANSPOSE(CZ$3:CZ$14))</f>
        <v>0</v>
      </c>
      <c r="DA136" s="3">
        <f t="array" ref="DA136">SUMPRODUCT($J136:$U136,TRANSPOSE(DA$3:DA$14))</f>
        <v>0</v>
      </c>
      <c r="DB136" s="3">
        <f t="array" ref="DB136">SUMPRODUCT($J136:$U136,TRANSPOSE(DB$3:DB$14))</f>
        <v>0</v>
      </c>
      <c r="DC136" s="3">
        <f t="array" ref="DC136">SUMPRODUCT($J136:$U136,TRANSPOSE(DC$3:DC$14))</f>
        <v>0</v>
      </c>
      <c r="DD136" s="3">
        <f t="array" ref="DD136">SUMPRODUCT($J136:$U136,TRANSPOSE(DD$3:DD$14))</f>
        <v>0</v>
      </c>
      <c r="DE136" s="3">
        <f t="array" ref="DE136">SUMPRODUCT($J136:$U136,TRANSPOSE(DE$3:DE$14))</f>
        <v>0</v>
      </c>
    </row>
    <row r="137" spans="1:109" ht="13.5" thickBot="1" x14ac:dyDescent="0.25">
      <c r="A137" s="3">
        <v>519</v>
      </c>
      <c r="B137" s="9" t="s">
        <v>623</v>
      </c>
      <c r="C137" s="3" t="s">
        <v>16</v>
      </c>
      <c r="D137" s="3">
        <v>401270756</v>
      </c>
      <c r="E137" s="3">
        <v>401272715</v>
      </c>
      <c r="F137" s="3" t="s">
        <v>624</v>
      </c>
      <c r="G137" s="3" t="s">
        <v>14</v>
      </c>
      <c r="H137" s="3">
        <v>1</v>
      </c>
      <c r="I137" s="3">
        <v>1</v>
      </c>
      <c r="J137" s="3">
        <v>0</v>
      </c>
      <c r="K137" s="3">
        <v>0</v>
      </c>
      <c r="L137" s="3">
        <v>0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f t="shared" si="42"/>
        <v>1</v>
      </c>
      <c r="W137" s="3">
        <f t="shared" si="41"/>
        <v>130</v>
      </c>
      <c r="X137" s="6" t="s">
        <v>50</v>
      </c>
      <c r="Z137" s="3" t="s">
        <v>50</v>
      </c>
      <c r="AA137" s="3" t="s">
        <v>50</v>
      </c>
      <c r="AD137" s="3" t="s">
        <v>50</v>
      </c>
      <c r="BJ137" s="3">
        <f>SUM($AE137,$AF137:AH137)-SUM($CH137:CK137)</f>
        <v>-10</v>
      </c>
      <c r="BK137" s="3">
        <f>SUM($AE137,$AF137:AI137)-SUM($CH137:CL137)</f>
        <v>-25</v>
      </c>
      <c r="BL137" s="3">
        <f>SUM($AE137,$AF137:AJ137)-SUM($CH137:CM137)</f>
        <v>-40</v>
      </c>
      <c r="BM137" s="3">
        <f>SUM($AE137,$AF137:AK137)-SUM($CH137:CN137)</f>
        <v>-60</v>
      </c>
      <c r="BN137" s="3">
        <f>SUM($AE137,$AF137:AL137)-SUM($CH137:CO137)</f>
        <v>-80</v>
      </c>
      <c r="BO137" s="3">
        <f>SUM($AE137,$AF137:AM137)-SUM($CH137:CP137)</f>
        <v>-100</v>
      </c>
      <c r="BP137" s="3">
        <f>SUM($AE137,$AF137:AN137)-SUM($CH137:CQ137)</f>
        <v>-120</v>
      </c>
      <c r="BQ137" s="3">
        <f>SUM($AE137,$AF137:AO137)-SUM($CH137:CR137)</f>
        <v>-130</v>
      </c>
      <c r="BR137" s="3">
        <f>SUM($AE137,$AF137:AP137)-SUM($CH137:CS137)</f>
        <v>-130</v>
      </c>
      <c r="BS137" s="3">
        <f>SUM($AE137,$AF137:AQ137)-SUM($CH137:CT137)</f>
        <v>-130</v>
      </c>
      <c r="BT137" s="3">
        <f>SUM($AE137,$AF137:AR137)-SUM($CH137:CU137)</f>
        <v>-130</v>
      </c>
      <c r="BU137" s="3">
        <f>SUM($AE137,$AF137:AS137)-SUM($CH137:CV137)</f>
        <v>-130</v>
      </c>
      <c r="BV137" s="3">
        <f>SUM($AE137,$AF137:AT137)-SUM($CH137:CW137)</f>
        <v>-130</v>
      </c>
      <c r="BW137" s="3">
        <f>SUM($AE137,$AF137:AU137)-SUM($CH137:CX137)</f>
        <v>-130</v>
      </c>
      <c r="BX137" s="3">
        <f>SUM($AE137,$AF137:AV137)-SUM($CH137:CY137)</f>
        <v>-130</v>
      </c>
      <c r="BY137" s="3">
        <f>SUM($AE137,$AF137:AW137)-SUM($CH137:CZ137)</f>
        <v>-130</v>
      </c>
      <c r="BZ137" s="3">
        <f>SUM($AE137,$AF137:AX137)-SUM($CH137:DA137)</f>
        <v>-130</v>
      </c>
      <c r="CA137" s="3">
        <f>SUM($AE137,$AF137:AY137)-SUM($CH137:DB137)</f>
        <v>-130</v>
      </c>
      <c r="CB137" s="3">
        <f>SUM($AE137,$AF137:AZ137)-SUM($CH137:DC137)</f>
        <v>-130</v>
      </c>
      <c r="CC137" s="3">
        <f>SUM($AE137,$AF137:BA137)-SUM($CH137:DD137)</f>
        <v>-130</v>
      </c>
      <c r="CI137" s="3">
        <f t="array" ref="CI137">SUMPRODUCT($J137:$U137,TRANSPOSE(CI$3:CI$14))</f>
        <v>0</v>
      </c>
      <c r="CJ137" s="3">
        <f t="array" ref="CJ137">SUMPRODUCT($J137:$U137,TRANSPOSE(CJ$3:CJ$14))</f>
        <v>0</v>
      </c>
      <c r="CK137" s="3">
        <f t="array" ref="CK137">SUMPRODUCT($J137:$U137,TRANSPOSE(CK$3:CK$14))</f>
        <v>10</v>
      </c>
      <c r="CL137" s="3">
        <f t="array" ref="CL137">SUMPRODUCT($J137:$U137,TRANSPOSE(CL$3:CL$14))</f>
        <v>15</v>
      </c>
      <c r="CM137" s="3">
        <f t="array" ref="CM137">SUMPRODUCT($J137:$U137,TRANSPOSE(CM$3:CM$14))</f>
        <v>15</v>
      </c>
      <c r="CN137" s="3">
        <f t="array" ref="CN137">SUMPRODUCT($J137:$U137,TRANSPOSE(CN$3:CN$14))</f>
        <v>20</v>
      </c>
      <c r="CO137" s="3">
        <f t="array" ref="CO137">SUMPRODUCT($J137:$U137,TRANSPOSE(CO$3:CO$14))</f>
        <v>20</v>
      </c>
      <c r="CP137" s="3">
        <f t="array" ref="CP137">SUMPRODUCT($J137:$U137,TRANSPOSE(CP$3:CP$14))</f>
        <v>20</v>
      </c>
      <c r="CQ137" s="3">
        <f t="array" ref="CQ137">SUMPRODUCT($J137:$U137,TRANSPOSE(CQ$3:CQ$14))</f>
        <v>20</v>
      </c>
      <c r="CR137" s="3">
        <f t="array" ref="CR137">SUMPRODUCT($J137:$U137,TRANSPOSE(CR$3:CR$14))</f>
        <v>10</v>
      </c>
      <c r="CS137" s="3">
        <f t="array" ref="CS137">SUMPRODUCT($J137:$U137,TRANSPOSE(CS$3:CS$14))</f>
        <v>0</v>
      </c>
      <c r="CT137" s="3">
        <f t="array" ref="CT137">SUMPRODUCT($J137:$U137,TRANSPOSE(CT$3:CT$14))</f>
        <v>0</v>
      </c>
      <c r="CU137" s="3">
        <f t="array" ref="CU137">SUMPRODUCT($J137:$U137,TRANSPOSE(CU$3:CU$14))</f>
        <v>0</v>
      </c>
      <c r="CV137" s="3">
        <f t="array" ref="CV137">SUMPRODUCT($J137:$U137,TRANSPOSE(CV$3:CV$14))</f>
        <v>0</v>
      </c>
      <c r="CW137" s="3">
        <f t="array" ref="CW137">SUMPRODUCT($J137:$U137,TRANSPOSE(CW$3:CW$14))</f>
        <v>0</v>
      </c>
      <c r="CX137" s="3">
        <f t="array" ref="CX137">SUMPRODUCT($J137:$U137,TRANSPOSE(CX$3:CX$14))</f>
        <v>0</v>
      </c>
      <c r="CY137" s="3">
        <f t="array" ref="CY137">SUMPRODUCT($J137:$U137,TRANSPOSE(CY$3:CY$14))</f>
        <v>0</v>
      </c>
      <c r="CZ137" s="3">
        <f t="array" ref="CZ137">SUMPRODUCT($J137:$U137,TRANSPOSE(CZ$3:CZ$14))</f>
        <v>0</v>
      </c>
      <c r="DA137" s="3">
        <f t="array" ref="DA137">SUMPRODUCT($J137:$U137,TRANSPOSE(DA$3:DA$14))</f>
        <v>0</v>
      </c>
      <c r="DB137" s="3">
        <f t="array" ref="DB137">SUMPRODUCT($J137:$U137,TRANSPOSE(DB$3:DB$14))</f>
        <v>0</v>
      </c>
      <c r="DC137" s="3">
        <f t="array" ref="DC137">SUMPRODUCT($J137:$U137,TRANSPOSE(DC$3:DC$14))</f>
        <v>0</v>
      </c>
      <c r="DD137" s="3">
        <f t="array" ref="DD137">SUMPRODUCT($J137:$U137,TRANSPOSE(DD$3:DD$14))</f>
        <v>0</v>
      </c>
      <c r="DE137" s="3">
        <f t="array" ref="DE137">SUMPRODUCT($J137:$U137,TRANSPOSE(DE$3:DE$14))</f>
        <v>0</v>
      </c>
    </row>
    <row r="138" spans="1:109" ht="13.5" thickBot="1" x14ac:dyDescent="0.25">
      <c r="A138" s="3">
        <v>528</v>
      </c>
      <c r="B138" s="9" t="s">
        <v>625</v>
      </c>
      <c r="C138" s="3" t="s">
        <v>16</v>
      </c>
      <c r="D138" s="3">
        <v>400175303</v>
      </c>
      <c r="E138" s="3">
        <v>400481641</v>
      </c>
      <c r="F138" s="3" t="s">
        <v>626</v>
      </c>
      <c r="G138" s="3" t="s">
        <v>14</v>
      </c>
      <c r="H138" s="3">
        <v>2</v>
      </c>
      <c r="I138" s="3">
        <v>2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2</v>
      </c>
      <c r="R138" s="3">
        <v>0</v>
      </c>
      <c r="S138" s="3">
        <v>0</v>
      </c>
      <c r="T138" s="3">
        <v>0</v>
      </c>
      <c r="U138" s="3">
        <v>0</v>
      </c>
      <c r="V138" s="3">
        <f t="shared" si="42"/>
        <v>2</v>
      </c>
      <c r="W138" s="3">
        <f t="shared" si="41"/>
        <v>284</v>
      </c>
      <c r="X138" s="6" t="s">
        <v>242</v>
      </c>
      <c r="Y138" s="3">
        <f>0.56*1.03</f>
        <v>0.57680000000000009</v>
      </c>
      <c r="Z138" s="3" t="s">
        <v>627</v>
      </c>
      <c r="AA138" s="3" t="s">
        <v>243</v>
      </c>
      <c r="AB138" s="3" t="s">
        <v>244</v>
      </c>
      <c r="AC138" s="3" t="s">
        <v>245</v>
      </c>
      <c r="AD138" s="3" t="s">
        <v>628</v>
      </c>
      <c r="BJ138" s="3">
        <f>SUM($AE138,$AF138:AH138)-SUM($CH138:CK138)</f>
        <v>-20</v>
      </c>
      <c r="BK138" s="3">
        <f>SUM($AE138,$AF138:AI138)-SUM($CH138:CL138)</f>
        <v>-50</v>
      </c>
      <c r="BL138" s="3">
        <f>SUM($AE138,$AF138:AJ138)-SUM($CH138:CM138)</f>
        <v>-84</v>
      </c>
      <c r="BM138" s="3">
        <f>SUM($AE138,$AF138:AK138)-SUM($CH138:CN138)</f>
        <v>-124</v>
      </c>
      <c r="BN138" s="3">
        <f>SUM($AE138,$AF138:AL138)-SUM($CH138:CO138)</f>
        <v>-164</v>
      </c>
      <c r="BO138" s="3">
        <f>SUM($AE138,$AF138:AM138)-SUM($CH138:CP138)</f>
        <v>-204</v>
      </c>
      <c r="BP138" s="3">
        <f>SUM($AE138,$AF138:AN138)-SUM($CH138:CQ138)</f>
        <v>-244</v>
      </c>
      <c r="BQ138" s="3">
        <f>SUM($AE138,$AF138:AO138)-SUM($CH138:CR138)</f>
        <v>-284</v>
      </c>
      <c r="BR138" s="3">
        <f>SUM($AE138,$AF138:AP138)-SUM($CH138:CS138)</f>
        <v>-284</v>
      </c>
      <c r="BS138" s="3">
        <f>SUM($AE138,$AF138:AQ138)-SUM($CH138:CT138)</f>
        <v>-284</v>
      </c>
      <c r="BT138" s="3">
        <f>SUM($AE138,$AF138:AR138)-SUM($CH138:CU138)</f>
        <v>-284</v>
      </c>
      <c r="BU138" s="3">
        <f>SUM($AE138,$AF138:AS138)-SUM($CH138:CV138)</f>
        <v>-284</v>
      </c>
      <c r="BV138" s="3">
        <f>SUM($AE138,$AF138:AT138)-SUM($CH138:CW138)</f>
        <v>-284</v>
      </c>
      <c r="BW138" s="3">
        <f>SUM($AE138,$AF138:AU138)-SUM($CH138:CX138)</f>
        <v>-284</v>
      </c>
      <c r="BX138" s="3">
        <f>SUM($AE138,$AF138:AV138)-SUM($CH138:CY138)</f>
        <v>-284</v>
      </c>
      <c r="BY138" s="3">
        <f>SUM($AE138,$AF138:AW138)-SUM($CH138:CZ138)</f>
        <v>-284</v>
      </c>
      <c r="BZ138" s="3">
        <f>SUM($AE138,$AF138:AX138)-SUM($CH138:DA138)</f>
        <v>-284</v>
      </c>
      <c r="CA138" s="3">
        <f>SUM($AE138,$AF138:AY138)-SUM($CH138:DB138)</f>
        <v>-284</v>
      </c>
      <c r="CB138" s="3">
        <f>SUM($AE138,$AF138:AZ138)-SUM($CH138:DC138)</f>
        <v>-284</v>
      </c>
      <c r="CC138" s="3">
        <f>SUM($AE138,$AF138:BA138)-SUM($CH138:DD138)</f>
        <v>-284</v>
      </c>
      <c r="CI138" s="3">
        <f t="array" ref="CI138">SUMPRODUCT($J138:$U138,TRANSPOSE(CI$3:CI$14))</f>
        <v>0</v>
      </c>
      <c r="CJ138" s="3">
        <f t="array" ref="CJ138">SUMPRODUCT($J138:$U138,TRANSPOSE(CJ$3:CJ$14))</f>
        <v>0</v>
      </c>
      <c r="CK138" s="3">
        <f t="array" ref="CK138">SUMPRODUCT($J138:$U138,TRANSPOSE(CK$3:CK$14))</f>
        <v>20</v>
      </c>
      <c r="CL138" s="3">
        <f t="array" ref="CL138">SUMPRODUCT($J138:$U138,TRANSPOSE(CL$3:CL$14))</f>
        <v>30</v>
      </c>
      <c r="CM138" s="3">
        <f t="array" ref="CM138">SUMPRODUCT($J138:$U138,TRANSPOSE(CM$3:CM$14))</f>
        <v>34</v>
      </c>
      <c r="CN138" s="3">
        <f t="array" ref="CN138">SUMPRODUCT($J138:$U138,TRANSPOSE(CN$3:CN$14))</f>
        <v>40</v>
      </c>
      <c r="CO138" s="3">
        <f t="array" ref="CO138">SUMPRODUCT($J138:$U138,TRANSPOSE(CO$3:CO$14))</f>
        <v>40</v>
      </c>
      <c r="CP138" s="3">
        <f t="array" ref="CP138">SUMPRODUCT($J138:$U138,TRANSPOSE(CP$3:CP$14))</f>
        <v>40</v>
      </c>
      <c r="CQ138" s="3">
        <f t="array" ref="CQ138">SUMPRODUCT($J138:$U138,TRANSPOSE(CQ$3:CQ$14))</f>
        <v>40</v>
      </c>
      <c r="CR138" s="3">
        <f t="array" ref="CR138">SUMPRODUCT($J138:$U138,TRANSPOSE(CR$3:CR$14))</f>
        <v>40</v>
      </c>
      <c r="CS138" s="3">
        <f t="array" ref="CS138">SUMPRODUCT($J138:$U138,TRANSPOSE(CS$3:CS$14))</f>
        <v>0</v>
      </c>
      <c r="CT138" s="3">
        <f t="array" ref="CT138">SUMPRODUCT($J138:$U138,TRANSPOSE(CT$3:CT$14))</f>
        <v>0</v>
      </c>
      <c r="CU138" s="3">
        <f t="array" ref="CU138">SUMPRODUCT($J138:$U138,TRANSPOSE(CU$3:CU$14))</f>
        <v>0</v>
      </c>
      <c r="CV138" s="3">
        <f t="array" ref="CV138">SUMPRODUCT($J138:$U138,TRANSPOSE(CV$3:CV$14))</f>
        <v>0</v>
      </c>
      <c r="CW138" s="3">
        <f t="array" ref="CW138">SUMPRODUCT($J138:$U138,TRANSPOSE(CW$3:CW$14))</f>
        <v>0</v>
      </c>
      <c r="CX138" s="3">
        <f t="array" ref="CX138">SUMPRODUCT($J138:$U138,TRANSPOSE(CX$3:CX$14))</f>
        <v>0</v>
      </c>
      <c r="CY138" s="3">
        <f t="array" ref="CY138">SUMPRODUCT($J138:$U138,TRANSPOSE(CY$3:CY$14))</f>
        <v>0</v>
      </c>
      <c r="CZ138" s="3">
        <f t="array" ref="CZ138">SUMPRODUCT($J138:$U138,TRANSPOSE(CZ$3:CZ$14))</f>
        <v>0</v>
      </c>
      <c r="DA138" s="3">
        <f t="array" ref="DA138">SUMPRODUCT($J138:$U138,TRANSPOSE(DA$3:DA$14))</f>
        <v>0</v>
      </c>
      <c r="DB138" s="3">
        <f t="array" ref="DB138">SUMPRODUCT($J138:$U138,TRANSPOSE(DB$3:DB$14))</f>
        <v>0</v>
      </c>
      <c r="DC138" s="3">
        <f t="array" ref="DC138">SUMPRODUCT($J138:$U138,TRANSPOSE(DC$3:DC$14))</f>
        <v>0</v>
      </c>
      <c r="DD138" s="3">
        <f t="array" ref="DD138">SUMPRODUCT($J138:$U138,TRANSPOSE(DD$3:DD$14))</f>
        <v>0</v>
      </c>
      <c r="DE138" s="3">
        <f t="array" ref="DE138">SUMPRODUCT($J138:$U138,TRANSPOSE(DE$3:DE$14))</f>
        <v>0</v>
      </c>
    </row>
    <row r="139" spans="1:109" ht="13.5" thickBot="1" x14ac:dyDescent="0.25">
      <c r="A139" s="3">
        <v>529</v>
      </c>
      <c r="B139" s="9" t="s">
        <v>629</v>
      </c>
      <c r="C139" s="3" t="s">
        <v>16</v>
      </c>
      <c r="D139" s="3">
        <v>401533602</v>
      </c>
      <c r="E139" s="3">
        <v>400510819</v>
      </c>
      <c r="F139" s="3" t="s">
        <v>630</v>
      </c>
      <c r="G139" s="3" t="s">
        <v>14</v>
      </c>
      <c r="H139" s="3">
        <v>2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V139" s="3">
        <f t="shared" si="42"/>
        <v>1</v>
      </c>
      <c r="W139" s="3">
        <f t="shared" si="41"/>
        <v>142</v>
      </c>
      <c r="X139" s="6" t="s">
        <v>242</v>
      </c>
      <c r="Y139" s="3">
        <f>0.56*1.03</f>
        <v>0.57680000000000009</v>
      </c>
      <c r="Z139" s="3" t="s">
        <v>627</v>
      </c>
      <c r="AA139" s="3" t="s">
        <v>243</v>
      </c>
      <c r="AB139" s="3" t="s">
        <v>244</v>
      </c>
      <c r="AC139" s="3" t="s">
        <v>245</v>
      </c>
      <c r="AD139" s="3" t="s">
        <v>628</v>
      </c>
      <c r="BJ139" s="3">
        <f>SUM($AE139,$AF139:AH139)-SUM($CH139:CK139)</f>
        <v>-10</v>
      </c>
      <c r="BK139" s="3">
        <f>SUM($AE139,$AF139:AI139)-SUM($CH139:CL139)</f>
        <v>-25</v>
      </c>
      <c r="BL139" s="3">
        <f>SUM($AE139,$AF139:AJ139)-SUM($CH139:CM139)</f>
        <v>-42</v>
      </c>
      <c r="BM139" s="3">
        <f>SUM($AE139,$AF139:AK139)-SUM($CH139:CN139)</f>
        <v>-62</v>
      </c>
      <c r="BN139" s="3">
        <f>SUM($AE139,$AF139:AL139)-SUM($CH139:CO139)</f>
        <v>-82</v>
      </c>
      <c r="BO139" s="3">
        <f>SUM($AE139,$AF139:AM139)-SUM($CH139:CP139)</f>
        <v>-102</v>
      </c>
      <c r="BP139" s="3">
        <f>SUM($AE139,$AF139:AN139)-SUM($CH139:CQ139)</f>
        <v>-122</v>
      </c>
      <c r="BQ139" s="3">
        <f>SUM($AE139,$AF139:AO139)-SUM($CH139:CR139)</f>
        <v>-142</v>
      </c>
      <c r="BR139" s="3">
        <f>SUM($AE139,$AF139:AP139)-SUM($CH139:CS139)</f>
        <v>-142</v>
      </c>
      <c r="BS139" s="3">
        <f>SUM($AE139,$AF139:AQ139)-SUM($CH139:CT139)</f>
        <v>-142</v>
      </c>
      <c r="BT139" s="3">
        <f>SUM($AE139,$AF139:AR139)-SUM($CH139:CU139)</f>
        <v>-142</v>
      </c>
      <c r="BU139" s="3">
        <f>SUM($AE139,$AF139:AS139)-SUM($CH139:CV139)</f>
        <v>-142</v>
      </c>
      <c r="BV139" s="3">
        <f>SUM($AE139,$AF139:AT139)-SUM($CH139:CW139)</f>
        <v>-142</v>
      </c>
      <c r="BW139" s="3">
        <f>SUM($AE139,$AF139:AU139)-SUM($CH139:CX139)</f>
        <v>-142</v>
      </c>
      <c r="BX139" s="3">
        <f>SUM($AE139,$AF139:AV139)-SUM($CH139:CY139)</f>
        <v>-142</v>
      </c>
      <c r="BY139" s="3">
        <f>SUM($AE139,$AF139:AW139)-SUM($CH139:CZ139)</f>
        <v>-142</v>
      </c>
      <c r="BZ139" s="3">
        <f>SUM($AE139,$AF139:AX139)-SUM($CH139:DA139)</f>
        <v>-142</v>
      </c>
      <c r="CA139" s="3">
        <f>SUM($AE139,$AF139:AY139)-SUM($CH139:DB139)</f>
        <v>-142</v>
      </c>
      <c r="CB139" s="3">
        <f>SUM($AE139,$AF139:AZ139)-SUM($CH139:DC139)</f>
        <v>-142</v>
      </c>
      <c r="CC139" s="3">
        <f>SUM($AE139,$AF139:BA139)-SUM($CH139:DD139)</f>
        <v>-142</v>
      </c>
      <c r="CI139" s="3">
        <f t="array" ref="CI139">SUMPRODUCT($J139:$U139,TRANSPOSE(CI$3:CI$14))</f>
        <v>0</v>
      </c>
      <c r="CJ139" s="3">
        <f t="array" ref="CJ139">SUMPRODUCT($J139:$U139,TRANSPOSE(CJ$3:CJ$14))</f>
        <v>0</v>
      </c>
      <c r="CK139" s="3">
        <f t="array" ref="CK139">SUMPRODUCT($J139:$U139,TRANSPOSE(CK$3:CK$14))</f>
        <v>10</v>
      </c>
      <c r="CL139" s="3">
        <f t="array" ref="CL139">SUMPRODUCT($J139:$U139,TRANSPOSE(CL$3:CL$14))</f>
        <v>15</v>
      </c>
      <c r="CM139" s="3">
        <f t="array" ref="CM139">SUMPRODUCT($J139:$U139,TRANSPOSE(CM$3:CM$14))</f>
        <v>17</v>
      </c>
      <c r="CN139" s="3">
        <f t="array" ref="CN139">SUMPRODUCT($J139:$U139,TRANSPOSE(CN$3:CN$14))</f>
        <v>20</v>
      </c>
      <c r="CO139" s="3">
        <f t="array" ref="CO139">SUMPRODUCT($J139:$U139,TRANSPOSE(CO$3:CO$14))</f>
        <v>20</v>
      </c>
      <c r="CP139" s="3">
        <f t="array" ref="CP139">SUMPRODUCT($J139:$U139,TRANSPOSE(CP$3:CP$14))</f>
        <v>20</v>
      </c>
      <c r="CQ139" s="3">
        <f t="array" ref="CQ139">SUMPRODUCT($J139:$U139,TRANSPOSE(CQ$3:CQ$14))</f>
        <v>20</v>
      </c>
      <c r="CR139" s="3">
        <f t="array" ref="CR139">SUMPRODUCT($J139:$U139,TRANSPOSE(CR$3:CR$14))</f>
        <v>20</v>
      </c>
      <c r="CS139" s="3">
        <f t="array" ref="CS139">SUMPRODUCT($J139:$U139,TRANSPOSE(CS$3:CS$14))</f>
        <v>0</v>
      </c>
      <c r="CT139" s="3">
        <f t="array" ref="CT139">SUMPRODUCT($J139:$U139,TRANSPOSE(CT$3:CT$14))</f>
        <v>0</v>
      </c>
      <c r="CU139" s="3">
        <f t="array" ref="CU139">SUMPRODUCT($J139:$U139,TRANSPOSE(CU$3:CU$14))</f>
        <v>0</v>
      </c>
      <c r="CV139" s="3">
        <f t="array" ref="CV139">SUMPRODUCT($J139:$U139,TRANSPOSE(CV$3:CV$14))</f>
        <v>0</v>
      </c>
      <c r="CW139" s="3">
        <f t="array" ref="CW139">SUMPRODUCT($J139:$U139,TRANSPOSE(CW$3:CW$14))</f>
        <v>0</v>
      </c>
      <c r="CX139" s="3">
        <f t="array" ref="CX139">SUMPRODUCT($J139:$U139,TRANSPOSE(CX$3:CX$14))</f>
        <v>0</v>
      </c>
      <c r="CY139" s="3">
        <f t="array" ref="CY139">SUMPRODUCT($J139:$U139,TRANSPOSE(CY$3:CY$14))</f>
        <v>0</v>
      </c>
      <c r="CZ139" s="3">
        <f t="array" ref="CZ139">SUMPRODUCT($J139:$U139,TRANSPOSE(CZ$3:CZ$14))</f>
        <v>0</v>
      </c>
      <c r="DA139" s="3">
        <f t="array" ref="DA139">SUMPRODUCT($J139:$U139,TRANSPOSE(DA$3:DA$14))</f>
        <v>0</v>
      </c>
      <c r="DB139" s="3">
        <f t="array" ref="DB139">SUMPRODUCT($J139:$U139,TRANSPOSE(DB$3:DB$14))</f>
        <v>0</v>
      </c>
      <c r="DC139" s="3">
        <f t="array" ref="DC139">SUMPRODUCT($J139:$U139,TRANSPOSE(DC$3:DC$14))</f>
        <v>0</v>
      </c>
      <c r="DD139" s="3">
        <f t="array" ref="DD139">SUMPRODUCT($J139:$U139,TRANSPOSE(DD$3:DD$14))</f>
        <v>0</v>
      </c>
      <c r="DE139" s="3">
        <f t="array" ref="DE139">SUMPRODUCT($J139:$U139,TRANSPOSE(DE$3:DE$14))</f>
        <v>0</v>
      </c>
    </row>
    <row r="140" spans="1:109" ht="13.5" thickBot="1" x14ac:dyDescent="0.25">
      <c r="A140" s="3">
        <v>544</v>
      </c>
      <c r="B140" s="9" t="s">
        <v>631</v>
      </c>
      <c r="C140" s="3" t="s">
        <v>632</v>
      </c>
      <c r="D140" s="3">
        <v>525403903</v>
      </c>
      <c r="F140" s="3" t="s">
        <v>235</v>
      </c>
      <c r="G140" s="3" t="s">
        <v>14</v>
      </c>
      <c r="H140" s="3">
        <v>2</v>
      </c>
      <c r="I140" s="3">
        <v>22</v>
      </c>
      <c r="J140" s="3">
        <v>0</v>
      </c>
      <c r="K140" s="3">
        <v>11</v>
      </c>
      <c r="L140" s="3">
        <v>0</v>
      </c>
      <c r="M140" s="3">
        <v>0</v>
      </c>
      <c r="N140" s="3">
        <v>11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f t="shared" si="42"/>
        <v>22</v>
      </c>
      <c r="W140" s="3">
        <f t="shared" si="41"/>
        <v>2860</v>
      </c>
      <c r="X140" s="6" t="s">
        <v>633</v>
      </c>
      <c r="Y140" s="3">
        <v>6.75</v>
      </c>
      <c r="Z140" s="3" t="s">
        <v>251</v>
      </c>
      <c r="AC140" s="23"/>
      <c r="BJ140" s="3">
        <f>SUM($AE140,$AF140:AH140)-SUM($CH140:CK140)</f>
        <v>0</v>
      </c>
      <c r="BK140" s="3">
        <f>SUM($AE140,$AF140:AI140)-SUM($CH140:CL140)</f>
        <v>-220</v>
      </c>
      <c r="BL140" s="3">
        <f>SUM($AE140,$AF140:AJ140)-SUM($CH140:CM140)</f>
        <v>-550</v>
      </c>
      <c r="BM140" s="3">
        <f>SUM($AE140,$AF140:AK140)-SUM($CH140:CN140)</f>
        <v>-880</v>
      </c>
      <c r="BN140" s="3">
        <f>SUM($AE140,$AF140:AL140)-SUM($CH140:CO140)</f>
        <v>-1320</v>
      </c>
      <c r="BO140" s="3">
        <f>SUM($AE140,$AF140:AM140)-SUM($CH140:CP140)</f>
        <v>-1760</v>
      </c>
      <c r="BP140" s="3">
        <f>SUM($AE140,$AF140:AN140)-SUM($CH140:CQ140)</f>
        <v>-2200</v>
      </c>
      <c r="BQ140" s="3">
        <f>SUM($AE140,$AF140:AO140)-SUM($CH140:CR140)</f>
        <v>-2640</v>
      </c>
      <c r="BR140" s="3">
        <f>SUM($AE140,$AF140:AP140)-SUM($CH140:CS140)</f>
        <v>-2860</v>
      </c>
      <c r="BS140" s="3">
        <f>SUM($AE140,$AF140:AQ140)-SUM($CH140:CT140)</f>
        <v>-2860</v>
      </c>
      <c r="BT140" s="3">
        <f>SUM($AE140,$AF140:AR140)-SUM($CH140:CU140)</f>
        <v>-2860</v>
      </c>
      <c r="BU140" s="3">
        <f>SUM($AE140,$AF140:AS140)-SUM($CH140:CV140)</f>
        <v>-2860</v>
      </c>
      <c r="BV140" s="3">
        <f>SUM($AE140,$AF140:AT140)-SUM($CH140:CW140)</f>
        <v>-2860</v>
      </c>
      <c r="BW140" s="3">
        <f>SUM($AE140,$AF140:AU140)-SUM($CH140:CX140)</f>
        <v>-2860</v>
      </c>
      <c r="BX140" s="3">
        <f>SUM($AE140,$AF140:AV140)-SUM($CH140:CY140)</f>
        <v>-2860</v>
      </c>
      <c r="BY140" s="3">
        <f>SUM($AE140,$AF140:AW140)-SUM($CH140:CZ140)</f>
        <v>-2860</v>
      </c>
      <c r="BZ140" s="3">
        <f>SUM($AE140,$AF140:AX140)-SUM($CH140:DA140)</f>
        <v>-2860</v>
      </c>
      <c r="CA140" s="3">
        <f>SUM($AE140,$AF140:AY140)-SUM($CH140:DB140)</f>
        <v>-2860</v>
      </c>
      <c r="CB140" s="3">
        <f>SUM($AE140,$AF140:AZ140)-SUM($CH140:DC140)</f>
        <v>-2860</v>
      </c>
      <c r="CC140" s="3">
        <f>SUM($AE140,$AF140:BA140)-SUM($CH140:DD140)</f>
        <v>-2860</v>
      </c>
      <c r="CI140" s="3">
        <f t="array" ref="CI140">SUMPRODUCT($J140:$U140,TRANSPOSE(CI$3:CI$14))</f>
        <v>0</v>
      </c>
      <c r="CJ140" s="3">
        <f t="array" ref="CJ140">SUMPRODUCT($J140:$U140,TRANSPOSE(CJ$3:CJ$14))</f>
        <v>0</v>
      </c>
      <c r="CK140" s="3">
        <f t="array" ref="CK140">SUMPRODUCT($J140:$U140,TRANSPOSE(CK$3:CK$14))</f>
        <v>0</v>
      </c>
      <c r="CL140" s="3">
        <f t="array" ref="CL140">SUMPRODUCT($J140:$U140,TRANSPOSE(CL$3:CL$14))</f>
        <v>220</v>
      </c>
      <c r="CM140" s="3">
        <f t="array" ref="CM140">SUMPRODUCT($J140:$U140,TRANSPOSE(CM$3:CM$14))</f>
        <v>330</v>
      </c>
      <c r="CN140" s="3">
        <f t="array" ref="CN140">SUMPRODUCT($J140:$U140,TRANSPOSE(CN$3:CN$14))</f>
        <v>330</v>
      </c>
      <c r="CO140" s="3">
        <f t="array" ref="CO140">SUMPRODUCT($J140:$U140,TRANSPOSE(CO$3:CO$14))</f>
        <v>440</v>
      </c>
      <c r="CP140" s="3">
        <f t="array" ref="CP140">SUMPRODUCT($J140:$U140,TRANSPOSE(CP$3:CP$14))</f>
        <v>440</v>
      </c>
      <c r="CQ140" s="3">
        <f t="array" ref="CQ140">SUMPRODUCT($J140:$U140,TRANSPOSE(CQ$3:CQ$14))</f>
        <v>440</v>
      </c>
      <c r="CR140" s="3">
        <f t="array" ref="CR140">SUMPRODUCT($J140:$U140,TRANSPOSE(CR$3:CR$14))</f>
        <v>440</v>
      </c>
      <c r="CS140" s="3">
        <f t="array" ref="CS140">SUMPRODUCT($J140:$U140,TRANSPOSE(CS$3:CS$14))</f>
        <v>220</v>
      </c>
      <c r="CT140" s="3">
        <f t="array" ref="CT140">SUMPRODUCT($J140:$U140,TRANSPOSE(CT$3:CT$14))</f>
        <v>0</v>
      </c>
      <c r="CU140" s="3">
        <f t="array" ref="CU140">SUMPRODUCT($J140:$U140,TRANSPOSE(CU$3:CU$14))</f>
        <v>0</v>
      </c>
      <c r="CV140" s="3">
        <f t="array" ref="CV140">SUMPRODUCT($J140:$U140,TRANSPOSE(CV$3:CV$14))</f>
        <v>0</v>
      </c>
      <c r="CW140" s="3">
        <f t="array" ref="CW140">SUMPRODUCT($J140:$U140,TRANSPOSE(CW$3:CW$14))</f>
        <v>0</v>
      </c>
      <c r="CX140" s="3">
        <f t="array" ref="CX140">SUMPRODUCT($J140:$U140,TRANSPOSE(CX$3:CX$14))</f>
        <v>0</v>
      </c>
      <c r="CY140" s="3">
        <f t="array" ref="CY140">SUMPRODUCT($J140:$U140,TRANSPOSE(CY$3:CY$14))</f>
        <v>0</v>
      </c>
      <c r="CZ140" s="3">
        <f t="array" ref="CZ140">SUMPRODUCT($J140:$U140,TRANSPOSE(CZ$3:CZ$14))</f>
        <v>0</v>
      </c>
      <c r="DA140" s="3">
        <f t="array" ref="DA140">SUMPRODUCT($J140:$U140,TRANSPOSE(DA$3:DA$14))</f>
        <v>0</v>
      </c>
      <c r="DB140" s="3">
        <f t="array" ref="DB140">SUMPRODUCT($J140:$U140,TRANSPOSE(DB$3:DB$14))</f>
        <v>0</v>
      </c>
      <c r="DC140" s="3">
        <f t="array" ref="DC140">SUMPRODUCT($J140:$U140,TRANSPOSE(DC$3:DC$14))</f>
        <v>0</v>
      </c>
      <c r="DD140" s="3">
        <f t="array" ref="DD140">SUMPRODUCT($J140:$U140,TRANSPOSE(DD$3:DD$14))</f>
        <v>0</v>
      </c>
      <c r="DE140" s="3">
        <f t="array" ref="DE140">SUMPRODUCT($J140:$U140,TRANSPOSE(DE$3:DE$14))</f>
        <v>0</v>
      </c>
    </row>
    <row r="141" spans="1:109" ht="13.5" thickBot="1" x14ac:dyDescent="0.25">
      <c r="A141" s="3">
        <v>545</v>
      </c>
      <c r="B141" s="9" t="s">
        <v>634</v>
      </c>
      <c r="C141" s="3" t="s">
        <v>16</v>
      </c>
      <c r="D141" s="3">
        <v>526945860</v>
      </c>
      <c r="F141" s="3" t="s">
        <v>249</v>
      </c>
      <c r="G141" s="3" t="s">
        <v>14</v>
      </c>
      <c r="H141" s="3">
        <v>2</v>
      </c>
      <c r="I141" s="3">
        <v>62</v>
      </c>
      <c r="J141" s="3">
        <v>0</v>
      </c>
      <c r="K141" s="3">
        <v>11</v>
      </c>
      <c r="L141" s="3">
        <v>0</v>
      </c>
      <c r="M141" s="3">
        <v>0</v>
      </c>
      <c r="N141" s="3">
        <v>11</v>
      </c>
      <c r="O141" s="3">
        <v>0</v>
      </c>
      <c r="P141" s="3">
        <v>0</v>
      </c>
      <c r="Q141" s="3">
        <v>0</v>
      </c>
      <c r="R141" s="3">
        <v>12</v>
      </c>
      <c r="S141" s="3">
        <v>12</v>
      </c>
      <c r="T141" s="3">
        <v>0</v>
      </c>
      <c r="U141" s="3">
        <v>12</v>
      </c>
      <c r="V141" s="3">
        <f t="shared" si="42"/>
        <v>58</v>
      </c>
      <c r="W141" s="3">
        <f t="shared" si="41"/>
        <v>7720</v>
      </c>
      <c r="X141" s="6" t="s">
        <v>250</v>
      </c>
      <c r="Y141" s="3">
        <v>4.68</v>
      </c>
      <c r="Z141" s="3" t="s">
        <v>251</v>
      </c>
      <c r="AC141" s="23"/>
      <c r="BJ141" s="3">
        <f>SUM($AE141,$AF141:AH141)-SUM($CH141:CK141)</f>
        <v>-120</v>
      </c>
      <c r="BK141" s="3">
        <f>SUM($AE141,$AF141:AI141)-SUM($CH141:CL141)</f>
        <v>-760</v>
      </c>
      <c r="BL141" s="3">
        <f>SUM($AE141,$AF141:AJ141)-SUM($CH141:CM141)</f>
        <v>-1690</v>
      </c>
      <c r="BM141" s="3">
        <f>SUM($AE141,$AF141:AK141)-SUM($CH141:CN141)</f>
        <v>-2620</v>
      </c>
      <c r="BN141" s="3">
        <f>SUM($AE141,$AF141:AL141)-SUM($CH141:CO141)</f>
        <v>-3780</v>
      </c>
      <c r="BO141" s="3">
        <f>SUM($AE141,$AF141:AM141)-SUM($CH141:CP141)</f>
        <v>-4940</v>
      </c>
      <c r="BP141" s="3">
        <f>SUM($AE141,$AF141:AN141)-SUM($CH141:CQ141)</f>
        <v>-6100</v>
      </c>
      <c r="BQ141" s="3">
        <f>SUM($AE141,$AF141:AO141)-SUM($CH141:CR141)</f>
        <v>-7260</v>
      </c>
      <c r="BR141" s="3">
        <f>SUM($AE141,$AF141:AP141)-SUM($CH141:CS141)</f>
        <v>-7720</v>
      </c>
      <c r="BS141" s="3">
        <f>SUM($AE141,$AF141:AQ141)-SUM($CH141:CT141)</f>
        <v>-7720</v>
      </c>
      <c r="BT141" s="3">
        <f>SUM($AE141,$AF141:AR141)-SUM($CH141:CU141)</f>
        <v>-7720</v>
      </c>
      <c r="BU141" s="3">
        <f>SUM($AE141,$AF141:AS141)-SUM($CH141:CV141)</f>
        <v>-7720</v>
      </c>
      <c r="BV141" s="3">
        <f>SUM($AE141,$AF141:AT141)-SUM($CH141:CW141)</f>
        <v>-7720</v>
      </c>
      <c r="BW141" s="3">
        <f>SUM($AE141,$AF141:AU141)-SUM($CH141:CX141)</f>
        <v>-7720</v>
      </c>
      <c r="BX141" s="3">
        <f>SUM($AE141,$AF141:AV141)-SUM($CH141:CY141)</f>
        <v>-7720</v>
      </c>
      <c r="BY141" s="3">
        <f>SUM($AE141,$AF141:AW141)-SUM($CH141:CZ141)</f>
        <v>-7720</v>
      </c>
      <c r="BZ141" s="3">
        <f>SUM($AE141,$AF141:AX141)-SUM($CH141:DA141)</f>
        <v>-7720</v>
      </c>
      <c r="CA141" s="3">
        <f>SUM($AE141,$AF141:AY141)-SUM($CH141:DB141)</f>
        <v>-7720</v>
      </c>
      <c r="CB141" s="3">
        <f>SUM($AE141,$AF141:AZ141)-SUM($CH141:DC141)</f>
        <v>-7720</v>
      </c>
      <c r="CC141" s="3">
        <f>SUM($AE141,$AF141:BA141)-SUM($CH141:DD141)</f>
        <v>-7720</v>
      </c>
      <c r="CI141" s="3">
        <f t="array" ref="CI141">SUMPRODUCT($J141:$U141,TRANSPOSE(CI$3:CI$14))</f>
        <v>0</v>
      </c>
      <c r="CJ141" s="3">
        <f t="array" ref="CJ141">SUMPRODUCT($J141:$U141,TRANSPOSE(CJ$3:CJ$14))</f>
        <v>0</v>
      </c>
      <c r="CK141" s="3">
        <f t="array" ref="CK141">SUMPRODUCT($J141:$U141,TRANSPOSE(CK$3:CK$14))</f>
        <v>120</v>
      </c>
      <c r="CL141" s="3">
        <f t="array" ref="CL141">SUMPRODUCT($J141:$U141,TRANSPOSE(CL$3:CL$14))</f>
        <v>640</v>
      </c>
      <c r="CM141" s="3">
        <f t="array" ref="CM141">SUMPRODUCT($J141:$U141,TRANSPOSE(CM$3:CM$14))</f>
        <v>930</v>
      </c>
      <c r="CN141" s="3">
        <f t="array" ref="CN141">SUMPRODUCT($J141:$U141,TRANSPOSE(CN$3:CN$14))</f>
        <v>930</v>
      </c>
      <c r="CO141" s="3">
        <f t="array" ref="CO141">SUMPRODUCT($J141:$U141,TRANSPOSE(CO$3:CO$14))</f>
        <v>1160</v>
      </c>
      <c r="CP141" s="3">
        <f t="array" ref="CP141">SUMPRODUCT($J141:$U141,TRANSPOSE(CP$3:CP$14))</f>
        <v>1160</v>
      </c>
      <c r="CQ141" s="3">
        <f t="array" ref="CQ141">SUMPRODUCT($J141:$U141,TRANSPOSE(CQ$3:CQ$14))</f>
        <v>1160</v>
      </c>
      <c r="CR141" s="3">
        <f t="array" ref="CR141">SUMPRODUCT($J141:$U141,TRANSPOSE(CR$3:CR$14))</f>
        <v>1160</v>
      </c>
      <c r="CS141" s="3">
        <f t="array" ref="CS141">SUMPRODUCT($J141:$U141,TRANSPOSE(CS$3:CS$14))</f>
        <v>460</v>
      </c>
      <c r="CT141" s="3">
        <f t="array" ref="CT141">SUMPRODUCT($J141:$U141,TRANSPOSE(CT$3:CT$14))</f>
        <v>0</v>
      </c>
      <c r="CU141" s="3">
        <f t="array" ref="CU141">SUMPRODUCT($J141:$U141,TRANSPOSE(CU$3:CU$14))</f>
        <v>0</v>
      </c>
      <c r="CV141" s="3">
        <f t="array" ref="CV141">SUMPRODUCT($J141:$U141,TRANSPOSE(CV$3:CV$14))</f>
        <v>0</v>
      </c>
      <c r="CW141" s="3">
        <f t="array" ref="CW141">SUMPRODUCT($J141:$U141,TRANSPOSE(CW$3:CW$14))</f>
        <v>0</v>
      </c>
      <c r="CX141" s="3">
        <f t="array" ref="CX141">SUMPRODUCT($J141:$U141,TRANSPOSE(CX$3:CX$14))</f>
        <v>0</v>
      </c>
      <c r="CY141" s="3">
        <f t="array" ref="CY141">SUMPRODUCT($J141:$U141,TRANSPOSE(CY$3:CY$14))</f>
        <v>0</v>
      </c>
      <c r="CZ141" s="3">
        <f t="array" ref="CZ141">SUMPRODUCT($J141:$U141,TRANSPOSE(CZ$3:CZ$14))</f>
        <v>0</v>
      </c>
      <c r="DA141" s="3">
        <f t="array" ref="DA141">SUMPRODUCT($J141:$U141,TRANSPOSE(DA$3:DA$14))</f>
        <v>0</v>
      </c>
      <c r="DB141" s="3">
        <f t="array" ref="DB141">SUMPRODUCT($J141:$U141,TRANSPOSE(DB$3:DB$14))</f>
        <v>0</v>
      </c>
      <c r="DC141" s="3">
        <f t="array" ref="DC141">SUMPRODUCT($J141:$U141,TRANSPOSE(DC$3:DC$14))</f>
        <v>0</v>
      </c>
      <c r="DD141" s="3">
        <f t="array" ref="DD141">SUMPRODUCT($J141:$U141,TRANSPOSE(DD$3:DD$14))</f>
        <v>0</v>
      </c>
      <c r="DE141" s="3">
        <f t="array" ref="DE141">SUMPRODUCT($J141:$U141,TRANSPOSE(DE$3:DE$14))</f>
        <v>0</v>
      </c>
    </row>
    <row r="142" spans="1:109" ht="13.5" thickBot="1" x14ac:dyDescent="0.25">
      <c r="A142" s="3">
        <v>583</v>
      </c>
      <c r="B142" s="9" t="s">
        <v>262</v>
      </c>
      <c r="C142" s="3" t="s">
        <v>95</v>
      </c>
      <c r="D142" s="3">
        <v>732603683</v>
      </c>
      <c r="F142" s="3" t="s">
        <v>263</v>
      </c>
      <c r="G142" s="3" t="s">
        <v>28</v>
      </c>
      <c r="H142" s="3">
        <v>2</v>
      </c>
      <c r="I142" s="3" t="s">
        <v>559</v>
      </c>
      <c r="J142" s="3">
        <v>0</v>
      </c>
      <c r="K142" s="3">
        <v>0</v>
      </c>
      <c r="L142" s="3">
        <v>0.05</v>
      </c>
      <c r="M142" s="3">
        <v>0</v>
      </c>
      <c r="N142" s="3">
        <v>0</v>
      </c>
      <c r="O142" s="3">
        <v>0.05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f t="shared" si="42"/>
        <v>0.1</v>
      </c>
      <c r="W142" s="3">
        <f t="shared" si="41"/>
        <v>13</v>
      </c>
      <c r="X142" s="6" t="s">
        <v>266</v>
      </c>
      <c r="Y142" s="3">
        <v>15</v>
      </c>
      <c r="Z142" s="3" t="s">
        <v>267</v>
      </c>
      <c r="BJ142" s="3">
        <f>SUM($AE142,$AF142:AH142)-SUM($CH142:CK142)</f>
        <v>-1</v>
      </c>
      <c r="BK142" s="3">
        <f>SUM($AE142,$AF142:AI142)-SUM($CH142:CL142)</f>
        <v>-2.5</v>
      </c>
      <c r="BL142" s="3">
        <f>SUM($AE142,$AF142:AJ142)-SUM($CH142:CM142)</f>
        <v>-4</v>
      </c>
      <c r="BM142" s="3">
        <f>SUM($AE142,$AF142:AK142)-SUM($CH142:CN142)</f>
        <v>-6</v>
      </c>
      <c r="BN142" s="3">
        <f>SUM($AE142,$AF142:AL142)-SUM($CH142:CO142)</f>
        <v>-8</v>
      </c>
      <c r="BO142" s="3">
        <f>SUM($AE142,$AF142:AM142)-SUM($CH142:CP142)</f>
        <v>-10</v>
      </c>
      <c r="BP142" s="3">
        <f>SUM($AE142,$AF142:AN142)-SUM($CH142:CQ142)</f>
        <v>-12</v>
      </c>
      <c r="BQ142" s="3">
        <f>SUM($AE142,$AF142:AO142)-SUM($CH142:CR142)</f>
        <v>-13</v>
      </c>
      <c r="BR142" s="3">
        <f>SUM($AE142,$AF142:AP142)-SUM($CH142:CS142)</f>
        <v>-13</v>
      </c>
      <c r="BS142" s="3">
        <f>SUM($AE142,$AF142:AQ142)-SUM($CH142:CT142)</f>
        <v>-13</v>
      </c>
      <c r="BT142" s="3">
        <f>SUM($AE142,$AF142:AR142)-SUM($CH142:CU142)</f>
        <v>-13</v>
      </c>
      <c r="BU142" s="3">
        <f>SUM($AE142,$AF142:AS142)-SUM($CH142:CV142)</f>
        <v>-13</v>
      </c>
      <c r="BV142" s="3">
        <f>SUM($AE142,$AF142:AT142)-SUM($CH142:CW142)</f>
        <v>-13</v>
      </c>
      <c r="BW142" s="3">
        <f>SUM($AE142,$AF142:AU142)-SUM($CH142:CX142)</f>
        <v>-13</v>
      </c>
      <c r="BX142" s="3">
        <f>SUM($AE142,$AF142:AV142)-SUM($CH142:CY142)</f>
        <v>-13</v>
      </c>
      <c r="BY142" s="3">
        <f>SUM($AE142,$AF142:AW142)-SUM($CH142:CZ142)</f>
        <v>-13</v>
      </c>
      <c r="BZ142" s="3">
        <f>SUM($AE142,$AF142:AX142)-SUM($CH142:DA142)</f>
        <v>-13</v>
      </c>
      <c r="CA142" s="3">
        <f>SUM($AE142,$AF142:AY142)-SUM($CH142:DB142)</f>
        <v>-13</v>
      </c>
      <c r="CB142" s="3">
        <f>SUM($AE142,$AF142:AZ142)-SUM($CH142:DC142)</f>
        <v>-13</v>
      </c>
      <c r="CC142" s="3">
        <f>SUM($AE142,$AF142:BA142)-SUM($CH142:DD142)</f>
        <v>-13</v>
      </c>
      <c r="CI142" s="3">
        <f t="array" ref="CI142">SUMPRODUCT($J142:$U142,TRANSPOSE(CI$3:CI$14))</f>
        <v>0</v>
      </c>
      <c r="CJ142" s="3">
        <f t="array" ref="CJ142">SUMPRODUCT($J142:$U142,TRANSPOSE(CJ$3:CJ$14))</f>
        <v>0</v>
      </c>
      <c r="CK142" s="3">
        <f t="array" ref="CK142">SUMPRODUCT($J142:$U142,TRANSPOSE(CK$3:CK$14))</f>
        <v>1</v>
      </c>
      <c r="CL142" s="3">
        <f t="array" ref="CL142">SUMPRODUCT($J142:$U142,TRANSPOSE(CL$3:CL$14))</f>
        <v>1.5</v>
      </c>
      <c r="CM142" s="3">
        <f t="array" ref="CM142">SUMPRODUCT($J142:$U142,TRANSPOSE(CM$3:CM$14))</f>
        <v>1.5</v>
      </c>
      <c r="CN142" s="3">
        <f t="array" ref="CN142">SUMPRODUCT($J142:$U142,TRANSPOSE(CN$3:CN$14))</f>
        <v>2</v>
      </c>
      <c r="CO142" s="3">
        <f t="array" ref="CO142">SUMPRODUCT($J142:$U142,TRANSPOSE(CO$3:CO$14))</f>
        <v>2</v>
      </c>
      <c r="CP142" s="3">
        <f t="array" ref="CP142">SUMPRODUCT($J142:$U142,TRANSPOSE(CP$3:CP$14))</f>
        <v>2</v>
      </c>
      <c r="CQ142" s="3">
        <f t="array" ref="CQ142">SUMPRODUCT($J142:$U142,TRANSPOSE(CQ$3:CQ$14))</f>
        <v>2</v>
      </c>
      <c r="CR142" s="3">
        <f t="array" ref="CR142">SUMPRODUCT($J142:$U142,TRANSPOSE(CR$3:CR$14))</f>
        <v>1</v>
      </c>
      <c r="CS142" s="3">
        <f t="array" ref="CS142">SUMPRODUCT($J142:$U142,TRANSPOSE(CS$3:CS$14))</f>
        <v>0</v>
      </c>
      <c r="CT142" s="3">
        <f t="array" ref="CT142">SUMPRODUCT($J142:$U142,TRANSPOSE(CT$3:CT$14))</f>
        <v>0</v>
      </c>
      <c r="CU142" s="3">
        <f t="array" ref="CU142">SUMPRODUCT($J142:$U142,TRANSPOSE(CU$3:CU$14))</f>
        <v>0</v>
      </c>
      <c r="CV142" s="3">
        <f t="array" ref="CV142">SUMPRODUCT($J142:$U142,TRANSPOSE(CV$3:CV$14))</f>
        <v>0</v>
      </c>
      <c r="CW142" s="3">
        <f t="array" ref="CW142">SUMPRODUCT($J142:$U142,TRANSPOSE(CW$3:CW$14))</f>
        <v>0</v>
      </c>
      <c r="CX142" s="3">
        <f t="array" ref="CX142">SUMPRODUCT($J142:$U142,TRANSPOSE(CX$3:CX$14))</f>
        <v>0</v>
      </c>
      <c r="CY142" s="3">
        <f t="array" ref="CY142">SUMPRODUCT($J142:$U142,TRANSPOSE(CY$3:CY$14))</f>
        <v>0</v>
      </c>
      <c r="CZ142" s="3">
        <f t="array" ref="CZ142">SUMPRODUCT($J142:$U142,TRANSPOSE(CZ$3:CZ$14))</f>
        <v>0</v>
      </c>
      <c r="DA142" s="3">
        <f t="array" ref="DA142">SUMPRODUCT($J142:$U142,TRANSPOSE(DA$3:DA$14))</f>
        <v>0</v>
      </c>
      <c r="DB142" s="3">
        <f t="array" ref="DB142">SUMPRODUCT($J142:$U142,TRANSPOSE(DB$3:DB$14))</f>
        <v>0</v>
      </c>
      <c r="DC142" s="3">
        <f t="array" ref="DC142">SUMPRODUCT($J142:$U142,TRANSPOSE(DC$3:DC$14))</f>
        <v>0</v>
      </c>
      <c r="DD142" s="3">
        <f t="array" ref="DD142">SUMPRODUCT($J142:$U142,TRANSPOSE(DD$3:DD$14))</f>
        <v>0</v>
      </c>
      <c r="DE142" s="3">
        <f t="array" ref="DE142">SUMPRODUCT($J142:$U142,TRANSPOSE(DE$3:DE$14))</f>
        <v>0</v>
      </c>
    </row>
    <row r="143" spans="1:109" ht="13.5" thickBot="1" x14ac:dyDescent="0.25">
      <c r="A143" s="3">
        <v>584</v>
      </c>
      <c r="B143" s="9" t="s">
        <v>635</v>
      </c>
      <c r="C143" s="3" t="s">
        <v>16</v>
      </c>
      <c r="D143" s="3" t="s">
        <v>636</v>
      </c>
      <c r="F143" s="3" t="s">
        <v>637</v>
      </c>
      <c r="G143" s="3" t="s">
        <v>14</v>
      </c>
      <c r="H143" s="3">
        <v>2</v>
      </c>
      <c r="I143" s="3">
        <v>4</v>
      </c>
      <c r="J143" s="3">
        <v>0</v>
      </c>
      <c r="K143" s="3">
        <v>2</v>
      </c>
      <c r="L143" s="3">
        <v>0</v>
      </c>
      <c r="M143" s="3">
        <v>0</v>
      </c>
      <c r="N143" s="3">
        <v>2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f t="shared" ref="V143:V174" si="43">SUM(J143:U143)</f>
        <v>4</v>
      </c>
      <c r="W143" s="3">
        <f t="shared" si="41"/>
        <v>520</v>
      </c>
      <c r="X143" s="6" t="s">
        <v>638</v>
      </c>
      <c r="Y143" s="3">
        <v>0.27400000000000002</v>
      </c>
      <c r="Z143" s="3" t="s">
        <v>302</v>
      </c>
      <c r="AA143" s="3" t="s">
        <v>303</v>
      </c>
      <c r="AB143" s="3" t="s">
        <v>304</v>
      </c>
      <c r="AC143" s="3" t="s">
        <v>305</v>
      </c>
      <c r="BJ143" s="3">
        <f>SUM($AE143,$AF143:AH143)-SUM($CH143:CK143)</f>
        <v>0</v>
      </c>
      <c r="BK143" s="3">
        <f>SUM($AE143,$AF143:AI143)-SUM($CH143:CL143)</f>
        <v>-40</v>
      </c>
      <c r="BL143" s="3">
        <f>SUM($AE143,$AF143:AJ143)-SUM($CH143:CM143)</f>
        <v>-100</v>
      </c>
      <c r="BM143" s="3">
        <f>SUM($AE143,$AF143:AK143)-SUM($CH143:CN143)</f>
        <v>-160</v>
      </c>
      <c r="BN143" s="3">
        <f>SUM($AE143,$AF143:AL143)-SUM($CH143:CO143)</f>
        <v>-240</v>
      </c>
      <c r="BO143" s="3">
        <f>SUM($AE143,$AF143:AM143)-SUM($CH143:CP143)</f>
        <v>-320</v>
      </c>
      <c r="BP143" s="3">
        <f>SUM($AE143,$AF143:AN143)-SUM($CH143:CQ143)</f>
        <v>-400</v>
      </c>
      <c r="BQ143" s="3">
        <f>SUM($AE143,$AF143:AO143)-SUM($CH143:CR143)</f>
        <v>-480</v>
      </c>
      <c r="BR143" s="3">
        <f>SUM($AE143,$AF143:AP143)-SUM($CH143:CS143)</f>
        <v>-520</v>
      </c>
      <c r="BS143" s="3">
        <f>SUM($AE143,$AF143:AQ143)-SUM($CH143:CT143)</f>
        <v>-520</v>
      </c>
      <c r="BT143" s="3">
        <f>SUM($AE143,$AF143:AR143)-SUM($CH143:CU143)</f>
        <v>-520</v>
      </c>
      <c r="BU143" s="3">
        <f>SUM($AE143,$AF143:AS143)-SUM($CH143:CV143)</f>
        <v>-520</v>
      </c>
      <c r="BV143" s="3">
        <f>SUM($AE143,$AF143:AT143)-SUM($CH143:CW143)</f>
        <v>-520</v>
      </c>
      <c r="BW143" s="3">
        <f>SUM($AE143,$AF143:AU143)-SUM($CH143:CX143)</f>
        <v>-520</v>
      </c>
      <c r="BX143" s="3">
        <f>SUM($AE143,$AF143:AV143)-SUM($CH143:CY143)</f>
        <v>-520</v>
      </c>
      <c r="BY143" s="3">
        <f>SUM($AE143,$AF143:AW143)-SUM($CH143:CZ143)</f>
        <v>-520</v>
      </c>
      <c r="BZ143" s="3">
        <f>SUM($AE143,$AF143:AX143)-SUM($CH143:DA143)</f>
        <v>-520</v>
      </c>
      <c r="CA143" s="3">
        <f>SUM($AE143,$AF143:AY143)-SUM($CH143:DB143)</f>
        <v>-520</v>
      </c>
      <c r="CB143" s="3">
        <f>SUM($AE143,$AF143:AZ143)-SUM($CH143:DC143)</f>
        <v>-520</v>
      </c>
      <c r="CC143" s="3">
        <f>SUM($AE143,$AF143:BA143)-SUM($CH143:DD143)</f>
        <v>-520</v>
      </c>
      <c r="CI143" s="3">
        <f t="array" ref="CI143">SUMPRODUCT($J143:$U143,TRANSPOSE(CI$3:CI$14))</f>
        <v>0</v>
      </c>
      <c r="CJ143" s="3">
        <f t="array" ref="CJ143">SUMPRODUCT($J143:$U143,TRANSPOSE(CJ$3:CJ$14))</f>
        <v>0</v>
      </c>
      <c r="CK143" s="3">
        <f t="array" ref="CK143">SUMPRODUCT($J143:$U143,TRANSPOSE(CK$3:CK$14))</f>
        <v>0</v>
      </c>
      <c r="CL143" s="3">
        <f t="array" ref="CL143">SUMPRODUCT($J143:$U143,TRANSPOSE(CL$3:CL$14))</f>
        <v>40</v>
      </c>
      <c r="CM143" s="3">
        <f t="array" ref="CM143">SUMPRODUCT($J143:$U143,TRANSPOSE(CM$3:CM$14))</f>
        <v>60</v>
      </c>
      <c r="CN143" s="3">
        <f t="array" ref="CN143">SUMPRODUCT($J143:$U143,TRANSPOSE(CN$3:CN$14))</f>
        <v>60</v>
      </c>
      <c r="CO143" s="3">
        <f t="array" ref="CO143">SUMPRODUCT($J143:$U143,TRANSPOSE(CO$3:CO$14))</f>
        <v>80</v>
      </c>
      <c r="CP143" s="3">
        <f t="array" ref="CP143">SUMPRODUCT($J143:$U143,TRANSPOSE(CP$3:CP$14))</f>
        <v>80</v>
      </c>
      <c r="CQ143" s="3">
        <f t="array" ref="CQ143">SUMPRODUCT($J143:$U143,TRANSPOSE(CQ$3:CQ$14))</f>
        <v>80</v>
      </c>
      <c r="CR143" s="3">
        <f t="array" ref="CR143">SUMPRODUCT($J143:$U143,TRANSPOSE(CR$3:CR$14))</f>
        <v>80</v>
      </c>
      <c r="CS143" s="3">
        <f t="array" ref="CS143">SUMPRODUCT($J143:$U143,TRANSPOSE(CS$3:CS$14))</f>
        <v>40</v>
      </c>
      <c r="CT143" s="3">
        <f t="array" ref="CT143">SUMPRODUCT($J143:$U143,TRANSPOSE(CT$3:CT$14))</f>
        <v>0</v>
      </c>
      <c r="CU143" s="3">
        <f t="array" ref="CU143">SUMPRODUCT($J143:$U143,TRANSPOSE(CU$3:CU$14))</f>
        <v>0</v>
      </c>
      <c r="CV143" s="3">
        <f t="array" ref="CV143">SUMPRODUCT($J143:$U143,TRANSPOSE(CV$3:CV$14))</f>
        <v>0</v>
      </c>
      <c r="CW143" s="3">
        <f t="array" ref="CW143">SUMPRODUCT($J143:$U143,TRANSPOSE(CW$3:CW$14))</f>
        <v>0</v>
      </c>
      <c r="CX143" s="3">
        <f t="array" ref="CX143">SUMPRODUCT($J143:$U143,TRANSPOSE(CX$3:CX$14))</f>
        <v>0</v>
      </c>
      <c r="CY143" s="3">
        <f t="array" ref="CY143">SUMPRODUCT($J143:$U143,TRANSPOSE(CY$3:CY$14))</f>
        <v>0</v>
      </c>
      <c r="CZ143" s="3">
        <f t="array" ref="CZ143">SUMPRODUCT($J143:$U143,TRANSPOSE(CZ$3:CZ$14))</f>
        <v>0</v>
      </c>
      <c r="DA143" s="3">
        <f t="array" ref="DA143">SUMPRODUCT($J143:$U143,TRANSPOSE(DA$3:DA$14))</f>
        <v>0</v>
      </c>
      <c r="DB143" s="3">
        <f t="array" ref="DB143">SUMPRODUCT($J143:$U143,TRANSPOSE(DB$3:DB$14))</f>
        <v>0</v>
      </c>
      <c r="DC143" s="3">
        <f t="array" ref="DC143">SUMPRODUCT($J143:$U143,TRANSPOSE(DC$3:DC$14))</f>
        <v>0</v>
      </c>
      <c r="DD143" s="3">
        <f t="array" ref="DD143">SUMPRODUCT($J143:$U143,TRANSPOSE(DD$3:DD$14))</f>
        <v>0</v>
      </c>
      <c r="DE143" s="3">
        <f t="array" ref="DE143">SUMPRODUCT($J143:$U143,TRANSPOSE(DE$3:DE$14))</f>
        <v>0</v>
      </c>
    </row>
    <row r="144" spans="1:109" ht="13.5" thickBot="1" x14ac:dyDescent="0.25">
      <c r="A144" s="3">
        <v>605</v>
      </c>
      <c r="B144" s="9" t="s">
        <v>639</v>
      </c>
      <c r="C144" s="3" t="s">
        <v>95</v>
      </c>
      <c r="D144" s="3" t="s">
        <v>640</v>
      </c>
      <c r="F144" s="3" t="s">
        <v>641</v>
      </c>
      <c r="G144" s="3" t="s">
        <v>14</v>
      </c>
      <c r="H144" s="3">
        <v>1</v>
      </c>
      <c r="I144" s="3">
        <v>6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6</v>
      </c>
      <c r="U144" s="3">
        <v>0</v>
      </c>
      <c r="V144" s="3">
        <f t="shared" si="43"/>
        <v>6</v>
      </c>
      <c r="W144" s="3">
        <f t="shared" si="41"/>
        <v>870</v>
      </c>
      <c r="X144" s="6" t="s">
        <v>642</v>
      </c>
      <c r="Y144" s="3">
        <v>2.06</v>
      </c>
      <c r="Z144" s="3" t="s">
        <v>643</v>
      </c>
      <c r="BJ144" s="3">
        <f>SUM($AE144,$AF144:AH144)-SUM($CH144:CK144)</f>
        <v>0</v>
      </c>
      <c r="BK144" s="3">
        <f>SUM($AE144,$AF144:AI144)-SUM($CH144:CL144)</f>
        <v>-60</v>
      </c>
      <c r="BL144" s="3">
        <f>SUM($AE144,$AF144:AJ144)-SUM($CH144:CM144)</f>
        <v>-150</v>
      </c>
      <c r="BM144" s="3">
        <f>SUM($AE144,$AF144:AK144)-SUM($CH144:CN144)</f>
        <v>-270</v>
      </c>
      <c r="BN144" s="3">
        <f>SUM($AE144,$AF144:AL144)-SUM($CH144:CO144)</f>
        <v>-390</v>
      </c>
      <c r="BO144" s="3">
        <f>SUM($AE144,$AF144:AM144)-SUM($CH144:CP144)</f>
        <v>-510</v>
      </c>
      <c r="BP144" s="3">
        <f>SUM($AE144,$AF144:AN144)-SUM($CH144:CQ144)</f>
        <v>-630</v>
      </c>
      <c r="BQ144" s="3">
        <f>SUM($AE144,$AF144:AO144)-SUM($CH144:CR144)</f>
        <v>-750</v>
      </c>
      <c r="BR144" s="3">
        <f>SUM($AE144,$AF144:AP144)-SUM($CH144:CS144)</f>
        <v>-870</v>
      </c>
      <c r="BS144" s="3">
        <f>SUM($AE144,$AF144:AQ144)-SUM($CH144:CT144)</f>
        <v>-870</v>
      </c>
      <c r="BT144" s="3">
        <f>SUM($AE144,$AF144:AR144)-SUM($CH144:CU144)</f>
        <v>-870</v>
      </c>
      <c r="BU144" s="3">
        <f>SUM($AE144,$AF144:AS144)-SUM($CH144:CV144)</f>
        <v>-870</v>
      </c>
      <c r="BV144" s="3">
        <f>SUM($AE144,$AF144:AT144)-SUM($CH144:CW144)</f>
        <v>-870</v>
      </c>
      <c r="BW144" s="3">
        <f>SUM($AE144,$AF144:AU144)-SUM($CH144:CX144)</f>
        <v>-870</v>
      </c>
      <c r="BX144" s="3">
        <f>SUM($AE144,$AF144:AV144)-SUM($CH144:CY144)</f>
        <v>-870</v>
      </c>
      <c r="BY144" s="3">
        <f>SUM($AE144,$AF144:AW144)-SUM($CH144:CZ144)</f>
        <v>-870</v>
      </c>
      <c r="BZ144" s="3">
        <f>SUM($AE144,$AF144:AX144)-SUM($CH144:DA144)</f>
        <v>-870</v>
      </c>
      <c r="CA144" s="3">
        <f>SUM($AE144,$AF144:AY144)-SUM($CH144:DB144)</f>
        <v>-870</v>
      </c>
      <c r="CB144" s="3">
        <f>SUM($AE144,$AF144:AZ144)-SUM($CH144:DC144)</f>
        <v>-870</v>
      </c>
      <c r="CC144" s="3">
        <f>SUM($AE144,$AF144:BA144)-SUM($CH144:DD144)</f>
        <v>-870</v>
      </c>
      <c r="CI144" s="3">
        <f t="array" ref="CI144">SUMPRODUCT($J144:$U144,TRANSPOSE(CI$3:CI$14))</f>
        <v>0</v>
      </c>
      <c r="CJ144" s="3">
        <f t="array" ref="CJ144">SUMPRODUCT($J144:$U144,TRANSPOSE(CJ$3:CJ$14))</f>
        <v>0</v>
      </c>
      <c r="CK144" s="3">
        <f t="array" ref="CK144">SUMPRODUCT($J144:$U144,TRANSPOSE(CK$3:CK$14))</f>
        <v>0</v>
      </c>
      <c r="CL144" s="3">
        <f t="array" ref="CL144">SUMPRODUCT($J144:$U144,TRANSPOSE(CL$3:CL$14))</f>
        <v>60</v>
      </c>
      <c r="CM144" s="3">
        <f t="array" ref="CM144">SUMPRODUCT($J144:$U144,TRANSPOSE(CM$3:CM$14))</f>
        <v>90</v>
      </c>
      <c r="CN144" s="3">
        <f t="array" ref="CN144">SUMPRODUCT($J144:$U144,TRANSPOSE(CN$3:CN$14))</f>
        <v>120</v>
      </c>
      <c r="CO144" s="3">
        <f t="array" ref="CO144">SUMPRODUCT($J144:$U144,TRANSPOSE(CO$3:CO$14))</f>
        <v>120</v>
      </c>
      <c r="CP144" s="3">
        <f t="array" ref="CP144">SUMPRODUCT($J144:$U144,TRANSPOSE(CP$3:CP$14))</f>
        <v>120</v>
      </c>
      <c r="CQ144" s="3">
        <f t="array" ref="CQ144">SUMPRODUCT($J144:$U144,TRANSPOSE(CQ$3:CQ$14))</f>
        <v>120</v>
      </c>
      <c r="CR144" s="3">
        <f t="array" ref="CR144">SUMPRODUCT($J144:$U144,TRANSPOSE(CR$3:CR$14))</f>
        <v>120</v>
      </c>
      <c r="CS144" s="3">
        <f t="array" ref="CS144">SUMPRODUCT($J144:$U144,TRANSPOSE(CS$3:CS$14))</f>
        <v>120</v>
      </c>
      <c r="CT144" s="3">
        <f t="array" ref="CT144">SUMPRODUCT($J144:$U144,TRANSPOSE(CT$3:CT$14))</f>
        <v>0</v>
      </c>
      <c r="CU144" s="3">
        <f t="array" ref="CU144">SUMPRODUCT($J144:$U144,TRANSPOSE(CU$3:CU$14))</f>
        <v>0</v>
      </c>
      <c r="CV144" s="3">
        <f t="array" ref="CV144">SUMPRODUCT($J144:$U144,TRANSPOSE(CV$3:CV$14))</f>
        <v>0</v>
      </c>
      <c r="CW144" s="3">
        <f t="array" ref="CW144">SUMPRODUCT($J144:$U144,TRANSPOSE(CW$3:CW$14))</f>
        <v>0</v>
      </c>
      <c r="CX144" s="3">
        <f t="array" ref="CX144">SUMPRODUCT($J144:$U144,TRANSPOSE(CX$3:CX$14))</f>
        <v>0</v>
      </c>
      <c r="CY144" s="3">
        <f t="array" ref="CY144">SUMPRODUCT($J144:$U144,TRANSPOSE(CY$3:CY$14))</f>
        <v>0</v>
      </c>
      <c r="CZ144" s="3">
        <f t="array" ref="CZ144">SUMPRODUCT($J144:$U144,TRANSPOSE(CZ$3:CZ$14))</f>
        <v>0</v>
      </c>
      <c r="DA144" s="3">
        <f t="array" ref="DA144">SUMPRODUCT($J144:$U144,TRANSPOSE(DA$3:DA$14))</f>
        <v>0</v>
      </c>
      <c r="DB144" s="3">
        <f t="array" ref="DB144">SUMPRODUCT($J144:$U144,TRANSPOSE(DB$3:DB$14))</f>
        <v>0</v>
      </c>
      <c r="DC144" s="3">
        <f t="array" ref="DC144">SUMPRODUCT($J144:$U144,TRANSPOSE(DC$3:DC$14))</f>
        <v>0</v>
      </c>
      <c r="DD144" s="3">
        <f t="array" ref="DD144">SUMPRODUCT($J144:$U144,TRANSPOSE(DD$3:DD$14))</f>
        <v>0</v>
      </c>
      <c r="DE144" s="3">
        <f t="array" ref="DE144">SUMPRODUCT($J144:$U144,TRANSPOSE(DE$3:DE$14))</f>
        <v>0</v>
      </c>
    </row>
    <row r="145" spans="1:109" ht="13.5" thickBot="1" x14ac:dyDescent="0.25">
      <c r="A145" s="3">
        <v>611</v>
      </c>
      <c r="B145" s="9" t="s">
        <v>644</v>
      </c>
      <c r="C145" s="3" t="s">
        <v>16</v>
      </c>
      <c r="D145" s="3" t="s">
        <v>645</v>
      </c>
      <c r="E145" s="3" t="s">
        <v>646</v>
      </c>
      <c r="F145" s="3" t="s">
        <v>647</v>
      </c>
      <c r="G145" s="3" t="s">
        <v>14</v>
      </c>
      <c r="H145" s="3">
        <v>2</v>
      </c>
      <c r="I145" s="3">
        <v>8</v>
      </c>
      <c r="J145" s="3">
        <v>0</v>
      </c>
      <c r="K145" s="3">
        <v>4</v>
      </c>
      <c r="L145" s="3">
        <v>0</v>
      </c>
      <c r="M145" s="3">
        <v>0</v>
      </c>
      <c r="N145" s="3">
        <v>4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f t="shared" si="43"/>
        <v>8</v>
      </c>
      <c r="W145" s="3">
        <f t="shared" ref="W145:W205" si="44">SUMPRODUCT(J145:U145,$J$11:$U$11)</f>
        <v>1040</v>
      </c>
      <c r="X145" s="6" t="s">
        <v>226</v>
      </c>
      <c r="Y145" s="3">
        <v>0.75</v>
      </c>
      <c r="Z145" s="3" t="s">
        <v>227</v>
      </c>
      <c r="AA145" s="3" t="s">
        <v>228</v>
      </c>
      <c r="AB145" s="3" t="s">
        <v>229</v>
      </c>
      <c r="AC145" s="3" t="s">
        <v>230</v>
      </c>
      <c r="BJ145" s="3">
        <f>SUM($AE145,$AF145:AH145)-SUM($CH145:CK145)</f>
        <v>0</v>
      </c>
      <c r="BK145" s="3">
        <f>SUM($AE145,$AF145:AI145)-SUM($CH145:CL145)</f>
        <v>-80</v>
      </c>
      <c r="BL145" s="3">
        <f>SUM($AE145,$AF145:AJ145)-SUM($CH145:CM145)</f>
        <v>-200</v>
      </c>
      <c r="BM145" s="3">
        <f>SUM($AE145,$AF145:AK145)-SUM($CH145:CN145)</f>
        <v>-320</v>
      </c>
      <c r="BN145" s="3">
        <f>SUM($AE145,$AF145:AL145)-SUM($CH145:CO145)</f>
        <v>-480</v>
      </c>
      <c r="BO145" s="3">
        <f>SUM($AE145,$AF145:AM145)-SUM($CH145:CP145)</f>
        <v>-640</v>
      </c>
      <c r="BP145" s="3">
        <f>SUM($AE145,$AF145:AN145)-SUM($CH145:CQ145)</f>
        <v>-800</v>
      </c>
      <c r="BQ145" s="3">
        <f>SUM($AE145,$AF145:AO145)-SUM($CH145:CR145)</f>
        <v>-960</v>
      </c>
      <c r="BR145" s="3">
        <f>SUM($AE145,$AF145:AP145)-SUM($CH145:CS145)</f>
        <v>-1040</v>
      </c>
      <c r="BS145" s="3">
        <f>SUM($AE145,$AF145:AQ145)-SUM($CH145:CT145)</f>
        <v>-1040</v>
      </c>
      <c r="BT145" s="3">
        <f>SUM($AE145,$AF145:AR145)-SUM($CH145:CU145)</f>
        <v>-1040</v>
      </c>
      <c r="BU145" s="3">
        <f>SUM($AE145,$AF145:AS145)-SUM($CH145:CV145)</f>
        <v>-1040</v>
      </c>
      <c r="BV145" s="3">
        <f>SUM($AE145,$AF145:AT145)-SUM($CH145:CW145)</f>
        <v>-1040</v>
      </c>
      <c r="BW145" s="3">
        <f>SUM($AE145,$AF145:AU145)-SUM($CH145:CX145)</f>
        <v>-1040</v>
      </c>
      <c r="BX145" s="3">
        <f>SUM($AE145,$AF145:AV145)-SUM($CH145:CY145)</f>
        <v>-1040</v>
      </c>
      <c r="BY145" s="3">
        <f>SUM($AE145,$AF145:AW145)-SUM($CH145:CZ145)</f>
        <v>-1040</v>
      </c>
      <c r="BZ145" s="3">
        <f>SUM($AE145,$AF145:AX145)-SUM($CH145:DA145)</f>
        <v>-1040</v>
      </c>
      <c r="CA145" s="3">
        <f>SUM($AE145,$AF145:AY145)-SUM($CH145:DB145)</f>
        <v>-1040</v>
      </c>
      <c r="CB145" s="3">
        <f>SUM($AE145,$AF145:AZ145)-SUM($CH145:DC145)</f>
        <v>-1040</v>
      </c>
      <c r="CC145" s="3">
        <f>SUM($AE145,$AF145:BA145)-SUM($CH145:DD145)</f>
        <v>-1040</v>
      </c>
      <c r="CI145" s="3">
        <f t="array" ref="CI145">SUMPRODUCT($J145:$U145,TRANSPOSE(CI$3:CI$14))</f>
        <v>0</v>
      </c>
      <c r="CJ145" s="3">
        <f t="array" ref="CJ145">SUMPRODUCT($J145:$U145,TRANSPOSE(CJ$3:CJ$14))</f>
        <v>0</v>
      </c>
      <c r="CK145" s="3">
        <f t="array" ref="CK145">SUMPRODUCT($J145:$U145,TRANSPOSE(CK$3:CK$14))</f>
        <v>0</v>
      </c>
      <c r="CL145" s="3">
        <f t="array" ref="CL145">SUMPRODUCT($J145:$U145,TRANSPOSE(CL$3:CL$14))</f>
        <v>80</v>
      </c>
      <c r="CM145" s="3">
        <f t="array" ref="CM145">SUMPRODUCT($J145:$U145,TRANSPOSE(CM$3:CM$14))</f>
        <v>120</v>
      </c>
      <c r="CN145" s="3">
        <f t="array" ref="CN145">SUMPRODUCT($J145:$U145,TRANSPOSE(CN$3:CN$14))</f>
        <v>120</v>
      </c>
      <c r="CO145" s="3">
        <f t="array" ref="CO145">SUMPRODUCT($J145:$U145,TRANSPOSE(CO$3:CO$14))</f>
        <v>160</v>
      </c>
      <c r="CP145" s="3">
        <f t="array" ref="CP145">SUMPRODUCT($J145:$U145,TRANSPOSE(CP$3:CP$14))</f>
        <v>160</v>
      </c>
      <c r="CQ145" s="3">
        <f t="array" ref="CQ145">SUMPRODUCT($J145:$U145,TRANSPOSE(CQ$3:CQ$14))</f>
        <v>160</v>
      </c>
      <c r="CR145" s="3">
        <f t="array" ref="CR145">SUMPRODUCT($J145:$U145,TRANSPOSE(CR$3:CR$14))</f>
        <v>160</v>
      </c>
      <c r="CS145" s="3">
        <f t="array" ref="CS145">SUMPRODUCT($J145:$U145,TRANSPOSE(CS$3:CS$14))</f>
        <v>80</v>
      </c>
      <c r="CT145" s="3">
        <f t="array" ref="CT145">SUMPRODUCT($J145:$U145,TRANSPOSE(CT$3:CT$14))</f>
        <v>0</v>
      </c>
      <c r="CU145" s="3">
        <f t="array" ref="CU145">SUMPRODUCT($J145:$U145,TRANSPOSE(CU$3:CU$14))</f>
        <v>0</v>
      </c>
      <c r="CV145" s="3">
        <f t="array" ref="CV145">SUMPRODUCT($J145:$U145,TRANSPOSE(CV$3:CV$14))</f>
        <v>0</v>
      </c>
      <c r="CW145" s="3">
        <f t="array" ref="CW145">SUMPRODUCT($J145:$U145,TRANSPOSE(CW$3:CW$14))</f>
        <v>0</v>
      </c>
      <c r="CX145" s="3">
        <f t="array" ref="CX145">SUMPRODUCT($J145:$U145,TRANSPOSE(CX$3:CX$14))</f>
        <v>0</v>
      </c>
      <c r="CY145" s="3">
        <f t="array" ref="CY145">SUMPRODUCT($J145:$U145,TRANSPOSE(CY$3:CY$14))</f>
        <v>0</v>
      </c>
      <c r="CZ145" s="3">
        <f t="array" ref="CZ145">SUMPRODUCT($J145:$U145,TRANSPOSE(CZ$3:CZ$14))</f>
        <v>0</v>
      </c>
      <c r="DA145" s="3">
        <f t="array" ref="DA145">SUMPRODUCT($J145:$U145,TRANSPOSE(DA$3:DA$14))</f>
        <v>0</v>
      </c>
      <c r="DB145" s="3">
        <f t="array" ref="DB145">SUMPRODUCT($J145:$U145,TRANSPOSE(DB$3:DB$14))</f>
        <v>0</v>
      </c>
      <c r="DC145" s="3">
        <f t="array" ref="DC145">SUMPRODUCT($J145:$U145,TRANSPOSE(DC$3:DC$14))</f>
        <v>0</v>
      </c>
      <c r="DD145" s="3">
        <f t="array" ref="DD145">SUMPRODUCT($J145:$U145,TRANSPOSE(DD$3:DD$14))</f>
        <v>0</v>
      </c>
      <c r="DE145" s="3">
        <f t="array" ref="DE145">SUMPRODUCT($J145:$U145,TRANSPOSE(DE$3:DE$14))</f>
        <v>0</v>
      </c>
    </row>
    <row r="146" spans="1:109" ht="13.5" thickBot="1" x14ac:dyDescent="0.25">
      <c r="A146" s="3">
        <v>653</v>
      </c>
      <c r="B146" s="9" t="s">
        <v>648</v>
      </c>
      <c r="C146" s="3" t="s">
        <v>16</v>
      </c>
      <c r="D146" s="3">
        <v>514301928</v>
      </c>
      <c r="F146" s="3" t="s">
        <v>649</v>
      </c>
      <c r="G146" s="3" t="s">
        <v>14</v>
      </c>
      <c r="H146" s="3">
        <v>2</v>
      </c>
      <c r="I146" s="3">
        <v>8</v>
      </c>
      <c r="J146" s="3">
        <v>0</v>
      </c>
      <c r="K146" s="3">
        <v>2</v>
      </c>
      <c r="L146" s="3">
        <v>0</v>
      </c>
      <c r="M146" s="3">
        <v>0</v>
      </c>
      <c r="N146" s="3">
        <v>2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f t="shared" si="43"/>
        <v>4</v>
      </c>
      <c r="W146" s="3">
        <f t="shared" si="44"/>
        <v>520</v>
      </c>
      <c r="X146" s="8" t="s">
        <v>650</v>
      </c>
      <c r="Y146" s="3">
        <v>2.5000000000000001E-2</v>
      </c>
      <c r="Z146" s="3" t="s">
        <v>594</v>
      </c>
      <c r="AA146" s="3" t="s">
        <v>128</v>
      </c>
      <c r="AB146" s="3" t="s">
        <v>129</v>
      </c>
      <c r="AC146" s="23" t="s">
        <v>130</v>
      </c>
      <c r="BJ146" s="3">
        <f>SUM($AE146,$AF146:AH146)-SUM($CH146:CK146)</f>
        <v>0</v>
      </c>
      <c r="BK146" s="3">
        <f>SUM($AE146,$AF146:AI146)-SUM($CH146:CL146)</f>
        <v>-40</v>
      </c>
      <c r="BL146" s="3">
        <f>SUM($AE146,$AF146:AJ146)-SUM($CH146:CM146)</f>
        <v>-100</v>
      </c>
      <c r="BM146" s="3">
        <f>SUM($AE146,$AF146:AK146)-SUM($CH146:CN146)</f>
        <v>-160</v>
      </c>
      <c r="BN146" s="3">
        <f>SUM($AE146,$AF146:AL146)-SUM($CH146:CO146)</f>
        <v>-240</v>
      </c>
      <c r="BO146" s="3">
        <f>SUM($AE146,$AF146:AM146)-SUM($CH146:CP146)</f>
        <v>-320</v>
      </c>
      <c r="BP146" s="3">
        <f>SUM($AE146,$AF146:AN146)-SUM($CH146:CQ146)</f>
        <v>-400</v>
      </c>
      <c r="BQ146" s="3">
        <f>SUM($AE146,$AF146:AO146)-SUM($CH146:CR146)</f>
        <v>-480</v>
      </c>
      <c r="BR146" s="3">
        <f>SUM($AE146,$AF146:AP146)-SUM($CH146:CS146)</f>
        <v>-520</v>
      </c>
      <c r="BS146" s="3">
        <f>SUM($AE146,$AF146:AQ146)-SUM($CH146:CT146)</f>
        <v>-520</v>
      </c>
      <c r="BT146" s="3">
        <f>SUM($AE146,$AF146:AR146)-SUM($CH146:CU146)</f>
        <v>-520</v>
      </c>
      <c r="BU146" s="3">
        <f>SUM($AE146,$AF146:AS146)-SUM($CH146:CV146)</f>
        <v>-520</v>
      </c>
      <c r="BV146" s="3">
        <f>SUM($AE146,$AF146:AT146)-SUM($CH146:CW146)</f>
        <v>-520</v>
      </c>
      <c r="BW146" s="3">
        <f>SUM($AE146,$AF146:AU146)-SUM($CH146:CX146)</f>
        <v>-520</v>
      </c>
      <c r="BX146" s="3">
        <f>SUM($AE146,$AF146:AV146)-SUM($CH146:CY146)</f>
        <v>-520</v>
      </c>
      <c r="BY146" s="3">
        <f>SUM($AE146,$AF146:AW146)-SUM($CH146:CZ146)</f>
        <v>-520</v>
      </c>
      <c r="BZ146" s="3">
        <f>SUM($AE146,$AF146:AX146)-SUM($CH146:DA146)</f>
        <v>-520</v>
      </c>
      <c r="CA146" s="3">
        <f>SUM($AE146,$AF146:AY146)-SUM($CH146:DB146)</f>
        <v>-520</v>
      </c>
      <c r="CB146" s="3">
        <f>SUM($AE146,$AF146:AZ146)-SUM($CH146:DC146)</f>
        <v>-520</v>
      </c>
      <c r="CC146" s="3">
        <f>SUM($AE146,$AF146:BA146)-SUM($CH146:DD146)</f>
        <v>-520</v>
      </c>
      <c r="CI146" s="3">
        <f t="array" ref="CI146">SUMPRODUCT($J146:$U146,TRANSPOSE(CI$3:CI$14))</f>
        <v>0</v>
      </c>
      <c r="CJ146" s="3">
        <f t="array" ref="CJ146">SUMPRODUCT($J146:$U146,TRANSPOSE(CJ$3:CJ$14))</f>
        <v>0</v>
      </c>
      <c r="CK146" s="3">
        <f t="array" ref="CK146">SUMPRODUCT($J146:$U146,TRANSPOSE(CK$3:CK$14))</f>
        <v>0</v>
      </c>
      <c r="CL146" s="3">
        <f t="array" ref="CL146">SUMPRODUCT($J146:$U146,TRANSPOSE(CL$3:CL$14))</f>
        <v>40</v>
      </c>
      <c r="CM146" s="3">
        <f t="array" ref="CM146">SUMPRODUCT($J146:$U146,TRANSPOSE(CM$3:CM$14))</f>
        <v>60</v>
      </c>
      <c r="CN146" s="3">
        <f t="array" ref="CN146">SUMPRODUCT($J146:$U146,TRANSPOSE(CN$3:CN$14))</f>
        <v>60</v>
      </c>
      <c r="CO146" s="3">
        <f t="array" ref="CO146">SUMPRODUCT($J146:$U146,TRANSPOSE(CO$3:CO$14))</f>
        <v>80</v>
      </c>
      <c r="CP146" s="3">
        <f t="array" ref="CP146">SUMPRODUCT($J146:$U146,TRANSPOSE(CP$3:CP$14))</f>
        <v>80</v>
      </c>
      <c r="CQ146" s="3">
        <f t="array" ref="CQ146">SUMPRODUCT($J146:$U146,TRANSPOSE(CQ$3:CQ$14))</f>
        <v>80</v>
      </c>
      <c r="CR146" s="3">
        <f t="array" ref="CR146">SUMPRODUCT($J146:$U146,TRANSPOSE(CR$3:CR$14))</f>
        <v>80</v>
      </c>
      <c r="CS146" s="3">
        <f t="array" ref="CS146">SUMPRODUCT($J146:$U146,TRANSPOSE(CS$3:CS$14))</f>
        <v>40</v>
      </c>
      <c r="CT146" s="3">
        <f t="array" ref="CT146">SUMPRODUCT($J146:$U146,TRANSPOSE(CT$3:CT$14))</f>
        <v>0</v>
      </c>
      <c r="CU146" s="3">
        <f t="array" ref="CU146">SUMPRODUCT($J146:$U146,TRANSPOSE(CU$3:CU$14))</f>
        <v>0</v>
      </c>
      <c r="CV146" s="3">
        <f t="array" ref="CV146">SUMPRODUCT($J146:$U146,TRANSPOSE(CV$3:CV$14))</f>
        <v>0</v>
      </c>
      <c r="CW146" s="3">
        <f t="array" ref="CW146">SUMPRODUCT($J146:$U146,TRANSPOSE(CW$3:CW$14))</f>
        <v>0</v>
      </c>
      <c r="CX146" s="3">
        <f t="array" ref="CX146">SUMPRODUCT($J146:$U146,TRANSPOSE(CX$3:CX$14))</f>
        <v>0</v>
      </c>
      <c r="CY146" s="3">
        <f t="array" ref="CY146">SUMPRODUCT($J146:$U146,TRANSPOSE(CY$3:CY$14))</f>
        <v>0</v>
      </c>
      <c r="CZ146" s="3">
        <f t="array" ref="CZ146">SUMPRODUCT($J146:$U146,TRANSPOSE(CZ$3:CZ$14))</f>
        <v>0</v>
      </c>
      <c r="DA146" s="3">
        <f t="array" ref="DA146">SUMPRODUCT($J146:$U146,TRANSPOSE(DA$3:DA$14))</f>
        <v>0</v>
      </c>
      <c r="DB146" s="3">
        <f t="array" ref="DB146">SUMPRODUCT($J146:$U146,TRANSPOSE(DB$3:DB$14))</f>
        <v>0</v>
      </c>
      <c r="DC146" s="3">
        <f t="array" ref="DC146">SUMPRODUCT($J146:$U146,TRANSPOSE(DC$3:DC$14))</f>
        <v>0</v>
      </c>
      <c r="DD146" s="3">
        <f t="array" ref="DD146">SUMPRODUCT($J146:$U146,TRANSPOSE(DD$3:DD$14))</f>
        <v>0</v>
      </c>
      <c r="DE146" s="3">
        <f t="array" ref="DE146">SUMPRODUCT($J146:$U146,TRANSPOSE(DE$3:DE$14))</f>
        <v>0</v>
      </c>
    </row>
    <row r="147" spans="1:109" ht="13.5" thickBot="1" x14ac:dyDescent="0.25">
      <c r="A147" s="3">
        <v>654</v>
      </c>
      <c r="B147" s="9" t="s">
        <v>651</v>
      </c>
      <c r="C147" s="3" t="s">
        <v>16</v>
      </c>
      <c r="D147" s="3">
        <v>514102946</v>
      </c>
      <c r="F147" s="3" t="s">
        <v>649</v>
      </c>
      <c r="G147" s="3" t="s">
        <v>14</v>
      </c>
      <c r="H147" s="3">
        <v>2</v>
      </c>
      <c r="I147" s="3">
        <v>12</v>
      </c>
      <c r="J147" s="3">
        <v>12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f t="shared" si="43"/>
        <v>12</v>
      </c>
      <c r="W147" s="3">
        <f t="shared" si="44"/>
        <v>1560</v>
      </c>
      <c r="X147" s="8" t="s">
        <v>650</v>
      </c>
      <c r="Y147" s="3">
        <v>0.02</v>
      </c>
      <c r="Z147" s="3" t="s">
        <v>594</v>
      </c>
      <c r="AA147" s="3" t="s">
        <v>128</v>
      </c>
      <c r="AB147" s="3" t="s">
        <v>129</v>
      </c>
      <c r="AC147" s="23" t="s">
        <v>130</v>
      </c>
      <c r="BJ147" s="3">
        <f>SUM($AE147,$AF147:AH147)-SUM($CH147:CK147)</f>
        <v>0</v>
      </c>
      <c r="BK147" s="3">
        <f>SUM($AE147,$AF147:AI147)-SUM($CH147:CL147)</f>
        <v>0</v>
      </c>
      <c r="BL147" s="3">
        <f>SUM($AE147,$AF147:AJ147)-SUM($CH147:CM147)</f>
        <v>-120</v>
      </c>
      <c r="BM147" s="3">
        <f>SUM($AE147,$AF147:AK147)-SUM($CH147:CN147)</f>
        <v>-300</v>
      </c>
      <c r="BN147" s="3">
        <f>SUM($AE147,$AF147:AL147)-SUM($CH147:CO147)</f>
        <v>-480</v>
      </c>
      <c r="BO147" s="3">
        <f>SUM($AE147,$AF147:AM147)-SUM($CH147:CP147)</f>
        <v>-720</v>
      </c>
      <c r="BP147" s="3">
        <f>SUM($AE147,$AF147:AN147)-SUM($CH147:CQ147)</f>
        <v>-960</v>
      </c>
      <c r="BQ147" s="3">
        <f>SUM($AE147,$AF147:AO147)-SUM($CH147:CR147)</f>
        <v>-1200</v>
      </c>
      <c r="BR147" s="3">
        <f>SUM($AE147,$AF147:AP147)-SUM($CH147:CS147)</f>
        <v>-1440</v>
      </c>
      <c r="BS147" s="3">
        <f>SUM($AE147,$AF147:AQ147)-SUM($CH147:CT147)</f>
        <v>-1560</v>
      </c>
      <c r="BT147" s="3">
        <f>SUM($AE147,$AF147:AR147)-SUM($CH147:CU147)</f>
        <v>-1560</v>
      </c>
      <c r="BU147" s="3">
        <f>SUM($AE147,$AF147:AS147)-SUM($CH147:CV147)</f>
        <v>-1560</v>
      </c>
      <c r="BV147" s="3">
        <f>SUM($AE147,$AF147:AT147)-SUM($CH147:CW147)</f>
        <v>-1560</v>
      </c>
      <c r="BW147" s="3">
        <f>SUM($AE147,$AF147:AU147)-SUM($CH147:CX147)</f>
        <v>-1560</v>
      </c>
      <c r="BX147" s="3">
        <f>SUM($AE147,$AF147:AV147)-SUM($CH147:CY147)</f>
        <v>-1560</v>
      </c>
      <c r="BY147" s="3">
        <f>SUM($AE147,$AF147:AW147)-SUM($CH147:CZ147)</f>
        <v>-1560</v>
      </c>
      <c r="BZ147" s="3">
        <f>SUM($AE147,$AF147:AX147)-SUM($CH147:DA147)</f>
        <v>-1560</v>
      </c>
      <c r="CA147" s="3">
        <f>SUM($AE147,$AF147:AY147)-SUM($CH147:DB147)</f>
        <v>-1560</v>
      </c>
      <c r="CB147" s="3">
        <f>SUM($AE147,$AF147:AZ147)-SUM($CH147:DC147)</f>
        <v>-1560</v>
      </c>
      <c r="CC147" s="3">
        <f>SUM($AE147,$AF147:BA147)-SUM($CH147:DD147)</f>
        <v>-1560</v>
      </c>
      <c r="CI147" s="3">
        <f t="array" ref="CI147">SUMPRODUCT($J147:$U147,TRANSPOSE(CI$3:CI$14))</f>
        <v>0</v>
      </c>
      <c r="CJ147" s="3">
        <f t="array" ref="CJ147">SUMPRODUCT($J147:$U147,TRANSPOSE(CJ$3:CJ$14))</f>
        <v>0</v>
      </c>
      <c r="CK147" s="3">
        <f t="array" ref="CK147">SUMPRODUCT($J147:$U147,TRANSPOSE(CK$3:CK$14))</f>
        <v>0</v>
      </c>
      <c r="CL147" s="3">
        <f t="array" ref="CL147">SUMPRODUCT($J147:$U147,TRANSPOSE(CL$3:CL$14))</f>
        <v>0</v>
      </c>
      <c r="CM147" s="3">
        <f t="array" ref="CM147">SUMPRODUCT($J147:$U147,TRANSPOSE(CM$3:CM$14))</f>
        <v>120</v>
      </c>
      <c r="CN147" s="3">
        <f t="array" ref="CN147">SUMPRODUCT($J147:$U147,TRANSPOSE(CN$3:CN$14))</f>
        <v>180</v>
      </c>
      <c r="CO147" s="3">
        <f t="array" ref="CO147">SUMPRODUCT($J147:$U147,TRANSPOSE(CO$3:CO$14))</f>
        <v>180</v>
      </c>
      <c r="CP147" s="3">
        <f t="array" ref="CP147">SUMPRODUCT($J147:$U147,TRANSPOSE(CP$3:CP$14))</f>
        <v>240</v>
      </c>
      <c r="CQ147" s="3">
        <f t="array" ref="CQ147">SUMPRODUCT($J147:$U147,TRANSPOSE(CQ$3:CQ$14))</f>
        <v>240</v>
      </c>
      <c r="CR147" s="3">
        <f t="array" ref="CR147">SUMPRODUCT($J147:$U147,TRANSPOSE(CR$3:CR$14))</f>
        <v>240</v>
      </c>
      <c r="CS147" s="3">
        <f t="array" ref="CS147">SUMPRODUCT($J147:$U147,TRANSPOSE(CS$3:CS$14))</f>
        <v>240</v>
      </c>
      <c r="CT147" s="3">
        <f t="array" ref="CT147">SUMPRODUCT($J147:$U147,TRANSPOSE(CT$3:CT$14))</f>
        <v>120</v>
      </c>
      <c r="CU147" s="3">
        <f t="array" ref="CU147">SUMPRODUCT($J147:$U147,TRANSPOSE(CU$3:CU$14))</f>
        <v>0</v>
      </c>
      <c r="CV147" s="3">
        <f t="array" ref="CV147">SUMPRODUCT($J147:$U147,TRANSPOSE(CV$3:CV$14))</f>
        <v>0</v>
      </c>
      <c r="CW147" s="3">
        <f t="array" ref="CW147">SUMPRODUCT($J147:$U147,TRANSPOSE(CW$3:CW$14))</f>
        <v>0</v>
      </c>
      <c r="CX147" s="3">
        <f t="array" ref="CX147">SUMPRODUCT($J147:$U147,TRANSPOSE(CX$3:CX$14))</f>
        <v>0</v>
      </c>
      <c r="CY147" s="3">
        <f t="array" ref="CY147">SUMPRODUCT($J147:$U147,TRANSPOSE(CY$3:CY$14))</f>
        <v>0</v>
      </c>
      <c r="CZ147" s="3">
        <f t="array" ref="CZ147">SUMPRODUCT($J147:$U147,TRANSPOSE(CZ$3:CZ$14))</f>
        <v>0</v>
      </c>
      <c r="DA147" s="3">
        <f t="array" ref="DA147">SUMPRODUCT($J147:$U147,TRANSPOSE(DA$3:DA$14))</f>
        <v>0</v>
      </c>
      <c r="DB147" s="3">
        <f t="array" ref="DB147">SUMPRODUCT($J147:$U147,TRANSPOSE(DB$3:DB$14))</f>
        <v>0</v>
      </c>
      <c r="DC147" s="3">
        <f t="array" ref="DC147">SUMPRODUCT($J147:$U147,TRANSPOSE(DC$3:DC$14))</f>
        <v>0</v>
      </c>
      <c r="DD147" s="3">
        <f t="array" ref="DD147">SUMPRODUCT($J147:$U147,TRANSPOSE(DD$3:DD$14))</f>
        <v>0</v>
      </c>
      <c r="DE147" s="3">
        <f t="array" ref="DE147">SUMPRODUCT($J147:$U147,TRANSPOSE(DE$3:DE$14))</f>
        <v>0</v>
      </c>
    </row>
    <row r="148" spans="1:109" ht="13.5" thickBot="1" x14ac:dyDescent="0.25">
      <c r="A148" s="3">
        <v>655</v>
      </c>
      <c r="B148" s="9" t="s">
        <v>652</v>
      </c>
      <c r="C148" s="3" t="s">
        <v>16</v>
      </c>
      <c r="D148" s="3">
        <v>514102953</v>
      </c>
      <c r="F148" s="3" t="s">
        <v>653</v>
      </c>
      <c r="G148" s="3" t="s">
        <v>14</v>
      </c>
      <c r="H148" s="3">
        <v>2</v>
      </c>
      <c r="I148" s="3">
        <v>24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24</v>
      </c>
      <c r="U148" s="3">
        <v>0</v>
      </c>
      <c r="V148" s="3">
        <f t="shared" si="43"/>
        <v>24</v>
      </c>
      <c r="W148" s="3">
        <f t="shared" si="44"/>
        <v>3480</v>
      </c>
      <c r="X148" s="6" t="s">
        <v>280</v>
      </c>
      <c r="Y148" s="3">
        <v>0.02</v>
      </c>
      <c r="Z148" s="3" t="s">
        <v>594</v>
      </c>
      <c r="AA148" s="3" t="s">
        <v>128</v>
      </c>
      <c r="AB148" s="3" t="s">
        <v>129</v>
      </c>
      <c r="AC148" s="23" t="s">
        <v>130</v>
      </c>
      <c r="BJ148" s="3">
        <f>SUM($AE148,$AF148:AH148)-SUM($CH148:CK148)</f>
        <v>0</v>
      </c>
      <c r="BK148" s="3">
        <f>SUM($AE148,$AF148:AI148)-SUM($CH148:CL148)</f>
        <v>-240</v>
      </c>
      <c r="BL148" s="3">
        <f>SUM($AE148,$AF148:AJ148)-SUM($CH148:CM148)</f>
        <v>-600</v>
      </c>
      <c r="BM148" s="3">
        <f>SUM($AE148,$AF148:AK148)-SUM($CH148:CN148)</f>
        <v>-1080</v>
      </c>
      <c r="BN148" s="3">
        <f>SUM($AE148,$AF148:AL148)-SUM($CH148:CO148)</f>
        <v>-1560</v>
      </c>
      <c r="BO148" s="3">
        <f>SUM($AE148,$AF148:AM148)-SUM($CH148:CP148)</f>
        <v>-2040</v>
      </c>
      <c r="BP148" s="3">
        <f>SUM($AE148,$AF148:AN148)-SUM($CH148:CQ148)</f>
        <v>-2520</v>
      </c>
      <c r="BQ148" s="3">
        <f>SUM($AE148,$AF148:AO148)-SUM($CH148:CR148)</f>
        <v>-3000</v>
      </c>
      <c r="BR148" s="3">
        <f>SUM($AE148,$AF148:AP148)-SUM($CH148:CS148)</f>
        <v>-3480</v>
      </c>
      <c r="BS148" s="3">
        <f>SUM($AE148,$AF148:AQ148)-SUM($CH148:CT148)</f>
        <v>-3480</v>
      </c>
      <c r="BT148" s="3">
        <f>SUM($AE148,$AF148:AR148)-SUM($CH148:CU148)</f>
        <v>-3480</v>
      </c>
      <c r="BU148" s="3">
        <f>SUM($AE148,$AF148:AS148)-SUM($CH148:CV148)</f>
        <v>-3480</v>
      </c>
      <c r="BV148" s="3">
        <f>SUM($AE148,$AF148:AT148)-SUM($CH148:CW148)</f>
        <v>-3480</v>
      </c>
      <c r="BW148" s="3">
        <f>SUM($AE148,$AF148:AU148)-SUM($CH148:CX148)</f>
        <v>-3480</v>
      </c>
      <c r="BX148" s="3">
        <f>SUM($AE148,$AF148:AV148)-SUM($CH148:CY148)</f>
        <v>-3480</v>
      </c>
      <c r="BY148" s="3">
        <f>SUM($AE148,$AF148:AW148)-SUM($CH148:CZ148)</f>
        <v>-3480</v>
      </c>
      <c r="BZ148" s="3">
        <f>SUM($AE148,$AF148:AX148)-SUM($CH148:DA148)</f>
        <v>-3480</v>
      </c>
      <c r="CA148" s="3">
        <f>SUM($AE148,$AF148:AY148)-SUM($CH148:DB148)</f>
        <v>-3480</v>
      </c>
      <c r="CB148" s="3">
        <f>SUM($AE148,$AF148:AZ148)-SUM($CH148:DC148)</f>
        <v>-3480</v>
      </c>
      <c r="CC148" s="3">
        <f>SUM($AE148,$AF148:BA148)-SUM($CH148:DD148)</f>
        <v>-3480</v>
      </c>
      <c r="CI148" s="3">
        <f t="array" ref="CI148">SUMPRODUCT($J148:$U148,TRANSPOSE(CI$3:CI$14))</f>
        <v>0</v>
      </c>
      <c r="CJ148" s="3">
        <f t="array" ref="CJ148">SUMPRODUCT($J148:$U148,TRANSPOSE(CJ$3:CJ$14))</f>
        <v>0</v>
      </c>
      <c r="CK148" s="3">
        <f t="array" ref="CK148">SUMPRODUCT($J148:$U148,TRANSPOSE(CK$3:CK$14))</f>
        <v>0</v>
      </c>
      <c r="CL148" s="3">
        <f t="array" ref="CL148">SUMPRODUCT($J148:$U148,TRANSPOSE(CL$3:CL$14))</f>
        <v>240</v>
      </c>
      <c r="CM148" s="3">
        <f t="array" ref="CM148">SUMPRODUCT($J148:$U148,TRANSPOSE(CM$3:CM$14))</f>
        <v>360</v>
      </c>
      <c r="CN148" s="3">
        <f t="array" ref="CN148">SUMPRODUCT($J148:$U148,TRANSPOSE(CN$3:CN$14))</f>
        <v>480</v>
      </c>
      <c r="CO148" s="3">
        <f t="array" ref="CO148">SUMPRODUCT($J148:$U148,TRANSPOSE(CO$3:CO$14))</f>
        <v>480</v>
      </c>
      <c r="CP148" s="3">
        <f t="array" ref="CP148">SUMPRODUCT($J148:$U148,TRANSPOSE(CP$3:CP$14))</f>
        <v>480</v>
      </c>
      <c r="CQ148" s="3">
        <f t="array" ref="CQ148">SUMPRODUCT($J148:$U148,TRANSPOSE(CQ$3:CQ$14))</f>
        <v>480</v>
      </c>
      <c r="CR148" s="3">
        <f t="array" ref="CR148">SUMPRODUCT($J148:$U148,TRANSPOSE(CR$3:CR$14))</f>
        <v>480</v>
      </c>
      <c r="CS148" s="3">
        <f t="array" ref="CS148">SUMPRODUCT($J148:$U148,TRANSPOSE(CS$3:CS$14))</f>
        <v>480</v>
      </c>
      <c r="CT148" s="3">
        <f t="array" ref="CT148">SUMPRODUCT($J148:$U148,TRANSPOSE(CT$3:CT$14))</f>
        <v>0</v>
      </c>
      <c r="CU148" s="3">
        <f t="array" ref="CU148">SUMPRODUCT($J148:$U148,TRANSPOSE(CU$3:CU$14))</f>
        <v>0</v>
      </c>
      <c r="CV148" s="3">
        <f t="array" ref="CV148">SUMPRODUCT($J148:$U148,TRANSPOSE(CV$3:CV$14))</f>
        <v>0</v>
      </c>
      <c r="CW148" s="3">
        <f t="array" ref="CW148">SUMPRODUCT($J148:$U148,TRANSPOSE(CW$3:CW$14))</f>
        <v>0</v>
      </c>
      <c r="CX148" s="3">
        <f t="array" ref="CX148">SUMPRODUCT($J148:$U148,TRANSPOSE(CX$3:CX$14))</f>
        <v>0</v>
      </c>
      <c r="CY148" s="3">
        <f t="array" ref="CY148">SUMPRODUCT($J148:$U148,TRANSPOSE(CY$3:CY$14))</f>
        <v>0</v>
      </c>
      <c r="CZ148" s="3">
        <f t="array" ref="CZ148">SUMPRODUCT($J148:$U148,TRANSPOSE(CZ$3:CZ$14))</f>
        <v>0</v>
      </c>
      <c r="DA148" s="3">
        <f t="array" ref="DA148">SUMPRODUCT($J148:$U148,TRANSPOSE(DA$3:DA$14))</f>
        <v>0</v>
      </c>
      <c r="DB148" s="3">
        <f t="array" ref="DB148">SUMPRODUCT($J148:$U148,TRANSPOSE(DB$3:DB$14))</f>
        <v>0</v>
      </c>
      <c r="DC148" s="3">
        <f t="array" ref="DC148">SUMPRODUCT($J148:$U148,TRANSPOSE(DC$3:DC$14))</f>
        <v>0</v>
      </c>
      <c r="DD148" s="3">
        <f t="array" ref="DD148">SUMPRODUCT($J148:$U148,TRANSPOSE(DD$3:DD$14))</f>
        <v>0</v>
      </c>
      <c r="DE148" s="3">
        <f t="array" ref="DE148">SUMPRODUCT($J148:$U148,TRANSPOSE(DE$3:DE$14))</f>
        <v>0</v>
      </c>
    </row>
    <row r="149" spans="1:109" ht="13.5" thickBot="1" x14ac:dyDescent="0.25">
      <c r="A149" s="3">
        <v>656</v>
      </c>
      <c r="B149" s="9" t="s">
        <v>654</v>
      </c>
      <c r="C149" s="3" t="s">
        <v>16</v>
      </c>
      <c r="D149" s="3">
        <v>514302603</v>
      </c>
      <c r="F149" s="3" t="s">
        <v>649</v>
      </c>
      <c r="G149" s="3" t="s">
        <v>14</v>
      </c>
      <c r="H149" s="3">
        <v>2</v>
      </c>
      <c r="I149" s="3">
        <v>137</v>
      </c>
      <c r="J149" s="3">
        <v>137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f t="shared" si="43"/>
        <v>137</v>
      </c>
      <c r="W149" s="3">
        <f t="shared" si="44"/>
        <v>17810</v>
      </c>
      <c r="X149" s="8" t="s">
        <v>650</v>
      </c>
      <c r="Y149" s="3">
        <v>0.03</v>
      </c>
      <c r="Z149" s="3" t="s">
        <v>594</v>
      </c>
      <c r="AA149" s="3" t="s">
        <v>128</v>
      </c>
      <c r="AB149" s="3" t="s">
        <v>129</v>
      </c>
      <c r="AC149" s="23" t="s">
        <v>130</v>
      </c>
      <c r="BJ149" s="3">
        <f>SUM($AE149,$AF149:AH149)-SUM($CH149:CK149)</f>
        <v>0</v>
      </c>
      <c r="BK149" s="3">
        <f>SUM($AE149,$AF149:AI149)-SUM($CH149:CL149)</f>
        <v>0</v>
      </c>
      <c r="BL149" s="3">
        <f>SUM($AE149,$AF149:AJ149)-SUM($CH149:CM149)</f>
        <v>-1370</v>
      </c>
      <c r="BM149" s="3">
        <f>SUM($AE149,$AF149:AK149)-SUM($CH149:CN149)</f>
        <v>-3425</v>
      </c>
      <c r="BN149" s="3">
        <f>SUM($AE149,$AF149:AL149)-SUM($CH149:CO149)</f>
        <v>-5480</v>
      </c>
      <c r="BO149" s="3">
        <f>SUM($AE149,$AF149:AM149)-SUM($CH149:CP149)</f>
        <v>-8220</v>
      </c>
      <c r="BP149" s="3">
        <f>SUM($AE149,$AF149:AN149)-SUM($CH149:CQ149)</f>
        <v>-10960</v>
      </c>
      <c r="BQ149" s="3">
        <f>SUM($AE149,$AF149:AO149)-SUM($CH149:CR149)</f>
        <v>-13700</v>
      </c>
      <c r="BR149" s="3">
        <f>SUM($AE149,$AF149:AP149)-SUM($CH149:CS149)</f>
        <v>-16440</v>
      </c>
      <c r="BS149" s="3">
        <f>SUM($AE149,$AF149:AQ149)-SUM($CH149:CT149)</f>
        <v>-17810</v>
      </c>
      <c r="BT149" s="3">
        <f>SUM($AE149,$AF149:AR149)-SUM($CH149:CU149)</f>
        <v>-17810</v>
      </c>
      <c r="BU149" s="3">
        <f>SUM($AE149,$AF149:AS149)-SUM($CH149:CV149)</f>
        <v>-17810</v>
      </c>
      <c r="BV149" s="3">
        <f>SUM($AE149,$AF149:AT149)-SUM($CH149:CW149)</f>
        <v>-17810</v>
      </c>
      <c r="BW149" s="3">
        <f>SUM($AE149,$AF149:AU149)-SUM($CH149:CX149)</f>
        <v>-17810</v>
      </c>
      <c r="BX149" s="3">
        <f>SUM($AE149,$AF149:AV149)-SUM($CH149:CY149)</f>
        <v>-17810</v>
      </c>
      <c r="BY149" s="3">
        <f>SUM($AE149,$AF149:AW149)-SUM($CH149:CZ149)</f>
        <v>-17810</v>
      </c>
      <c r="BZ149" s="3">
        <f>SUM($AE149,$AF149:AX149)-SUM($CH149:DA149)</f>
        <v>-17810</v>
      </c>
      <c r="CA149" s="3">
        <f>SUM($AE149,$AF149:AY149)-SUM($CH149:DB149)</f>
        <v>-17810</v>
      </c>
      <c r="CB149" s="3">
        <f>SUM($AE149,$AF149:AZ149)-SUM($CH149:DC149)</f>
        <v>-17810</v>
      </c>
      <c r="CC149" s="3">
        <f>SUM($AE149,$AF149:BA149)-SUM($CH149:DD149)</f>
        <v>-17810</v>
      </c>
      <c r="CI149" s="3">
        <f t="array" ref="CI149">SUMPRODUCT($J149:$U149,TRANSPOSE(CI$3:CI$14))</f>
        <v>0</v>
      </c>
      <c r="CJ149" s="3">
        <f t="array" ref="CJ149">SUMPRODUCT($J149:$U149,TRANSPOSE(CJ$3:CJ$14))</f>
        <v>0</v>
      </c>
      <c r="CK149" s="3">
        <f t="array" ref="CK149">SUMPRODUCT($J149:$U149,TRANSPOSE(CK$3:CK$14))</f>
        <v>0</v>
      </c>
      <c r="CL149" s="3">
        <f t="array" ref="CL149">SUMPRODUCT($J149:$U149,TRANSPOSE(CL$3:CL$14))</f>
        <v>0</v>
      </c>
      <c r="CM149" s="3">
        <f t="array" ref="CM149">SUMPRODUCT($J149:$U149,TRANSPOSE(CM$3:CM$14))</f>
        <v>1370</v>
      </c>
      <c r="CN149" s="3">
        <f t="array" ref="CN149">SUMPRODUCT($J149:$U149,TRANSPOSE(CN$3:CN$14))</f>
        <v>2055</v>
      </c>
      <c r="CO149" s="3">
        <f t="array" ref="CO149">SUMPRODUCT($J149:$U149,TRANSPOSE(CO$3:CO$14))</f>
        <v>2055</v>
      </c>
      <c r="CP149" s="3">
        <f t="array" ref="CP149">SUMPRODUCT($J149:$U149,TRANSPOSE(CP$3:CP$14))</f>
        <v>2740</v>
      </c>
      <c r="CQ149" s="3">
        <f t="array" ref="CQ149">SUMPRODUCT($J149:$U149,TRANSPOSE(CQ$3:CQ$14))</f>
        <v>2740</v>
      </c>
      <c r="CR149" s="3">
        <f t="array" ref="CR149">SUMPRODUCT($J149:$U149,TRANSPOSE(CR$3:CR$14))</f>
        <v>2740</v>
      </c>
      <c r="CS149" s="3">
        <f t="array" ref="CS149">SUMPRODUCT($J149:$U149,TRANSPOSE(CS$3:CS$14))</f>
        <v>2740</v>
      </c>
      <c r="CT149" s="3">
        <f t="array" ref="CT149">SUMPRODUCT($J149:$U149,TRANSPOSE(CT$3:CT$14))</f>
        <v>1370</v>
      </c>
      <c r="CU149" s="3">
        <f t="array" ref="CU149">SUMPRODUCT($J149:$U149,TRANSPOSE(CU$3:CU$14))</f>
        <v>0</v>
      </c>
      <c r="CV149" s="3">
        <f t="array" ref="CV149">SUMPRODUCT($J149:$U149,TRANSPOSE(CV$3:CV$14))</f>
        <v>0</v>
      </c>
      <c r="CW149" s="3">
        <f t="array" ref="CW149">SUMPRODUCT($J149:$U149,TRANSPOSE(CW$3:CW$14))</f>
        <v>0</v>
      </c>
      <c r="CX149" s="3">
        <f t="array" ref="CX149">SUMPRODUCT($J149:$U149,TRANSPOSE(CX$3:CX$14))</f>
        <v>0</v>
      </c>
      <c r="CY149" s="3">
        <f t="array" ref="CY149">SUMPRODUCT($J149:$U149,TRANSPOSE(CY$3:CY$14))</f>
        <v>0</v>
      </c>
      <c r="CZ149" s="3">
        <f t="array" ref="CZ149">SUMPRODUCT($J149:$U149,TRANSPOSE(CZ$3:CZ$14))</f>
        <v>0</v>
      </c>
      <c r="DA149" s="3">
        <f t="array" ref="DA149">SUMPRODUCT($J149:$U149,TRANSPOSE(DA$3:DA$14))</f>
        <v>0</v>
      </c>
      <c r="DB149" s="3">
        <f t="array" ref="DB149">SUMPRODUCT($J149:$U149,TRANSPOSE(DB$3:DB$14))</f>
        <v>0</v>
      </c>
      <c r="DC149" s="3">
        <f t="array" ref="DC149">SUMPRODUCT($J149:$U149,TRANSPOSE(DC$3:DC$14))</f>
        <v>0</v>
      </c>
      <c r="DD149" s="3">
        <f t="array" ref="DD149">SUMPRODUCT($J149:$U149,TRANSPOSE(DD$3:DD$14))</f>
        <v>0</v>
      </c>
      <c r="DE149" s="3">
        <f t="array" ref="DE149">SUMPRODUCT($J149:$U149,TRANSPOSE(DE$3:DE$14))</f>
        <v>0</v>
      </c>
    </row>
    <row r="150" spans="1:109" ht="13.5" thickBot="1" x14ac:dyDescent="0.25">
      <c r="A150" s="3">
        <v>658</v>
      </c>
      <c r="B150" s="9" t="s">
        <v>655</v>
      </c>
      <c r="C150" s="3" t="s">
        <v>16</v>
      </c>
      <c r="D150" s="3">
        <v>512306796</v>
      </c>
      <c r="F150" s="3" t="s">
        <v>279</v>
      </c>
      <c r="G150" s="3" t="s">
        <v>14</v>
      </c>
      <c r="H150" s="3">
        <v>2</v>
      </c>
      <c r="I150" s="3">
        <v>43</v>
      </c>
      <c r="J150" s="3">
        <v>39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4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f t="shared" si="43"/>
        <v>43</v>
      </c>
      <c r="W150" s="3">
        <f t="shared" si="44"/>
        <v>5638</v>
      </c>
      <c r="X150" s="6" t="s">
        <v>280</v>
      </c>
      <c r="Y150" s="3">
        <v>0.129</v>
      </c>
      <c r="Z150" s="3" t="s">
        <v>594</v>
      </c>
      <c r="AA150" s="3" t="s">
        <v>128</v>
      </c>
      <c r="AB150" s="3" t="s">
        <v>129</v>
      </c>
      <c r="AC150" s="23" t="s">
        <v>130</v>
      </c>
      <c r="BJ150" s="3">
        <f>SUM($AE150,$AF150:AH150)-SUM($CH150:CK150)</f>
        <v>0</v>
      </c>
      <c r="BK150" s="3">
        <f>SUM($AE150,$AF150:AI150)-SUM($CH150:CL150)</f>
        <v>-40</v>
      </c>
      <c r="BL150" s="3">
        <f>SUM($AE150,$AF150:AJ150)-SUM($CH150:CM150)</f>
        <v>-490</v>
      </c>
      <c r="BM150" s="3">
        <f>SUM($AE150,$AF150:AK150)-SUM($CH150:CN150)</f>
        <v>-1143</v>
      </c>
      <c r="BN150" s="3">
        <f>SUM($AE150,$AF150:AL150)-SUM($CH150:CO150)</f>
        <v>-1808</v>
      </c>
      <c r="BO150" s="3">
        <f>SUM($AE150,$AF150:AM150)-SUM($CH150:CP150)</f>
        <v>-2668</v>
      </c>
      <c r="BP150" s="3">
        <f>SUM($AE150,$AF150:AN150)-SUM($CH150:CQ150)</f>
        <v>-3528</v>
      </c>
      <c r="BQ150" s="3">
        <f>SUM($AE150,$AF150:AO150)-SUM($CH150:CR150)</f>
        <v>-4388</v>
      </c>
      <c r="BR150" s="3">
        <f>SUM($AE150,$AF150:AP150)-SUM($CH150:CS150)</f>
        <v>-5248</v>
      </c>
      <c r="BS150" s="3">
        <f>SUM($AE150,$AF150:AQ150)-SUM($CH150:CT150)</f>
        <v>-5638</v>
      </c>
      <c r="BT150" s="3">
        <f>SUM($AE150,$AF150:AR150)-SUM($CH150:CU150)</f>
        <v>-5638</v>
      </c>
      <c r="BU150" s="3">
        <f>SUM($AE150,$AF150:AS150)-SUM($CH150:CV150)</f>
        <v>-5638</v>
      </c>
      <c r="BV150" s="3">
        <f>SUM($AE150,$AF150:AT150)-SUM($CH150:CW150)</f>
        <v>-5638</v>
      </c>
      <c r="BW150" s="3">
        <f>SUM($AE150,$AF150:AU150)-SUM($CH150:CX150)</f>
        <v>-5638</v>
      </c>
      <c r="BX150" s="3">
        <f>SUM($AE150,$AF150:AV150)-SUM($CH150:CY150)</f>
        <v>-5638</v>
      </c>
      <c r="BY150" s="3">
        <f>SUM($AE150,$AF150:AW150)-SUM($CH150:CZ150)</f>
        <v>-5638</v>
      </c>
      <c r="BZ150" s="3">
        <f>SUM($AE150,$AF150:AX150)-SUM($CH150:DA150)</f>
        <v>-5638</v>
      </c>
      <c r="CA150" s="3">
        <f>SUM($AE150,$AF150:AY150)-SUM($CH150:DB150)</f>
        <v>-5638</v>
      </c>
      <c r="CB150" s="3">
        <f>SUM($AE150,$AF150:AZ150)-SUM($CH150:DC150)</f>
        <v>-5638</v>
      </c>
      <c r="CC150" s="3">
        <f>SUM($AE150,$AF150:BA150)-SUM($CH150:DD150)</f>
        <v>-5638</v>
      </c>
      <c r="CI150" s="3">
        <f t="array" ref="CI150">SUMPRODUCT($J150:$U150,TRANSPOSE(CI$3:CI$14))</f>
        <v>0</v>
      </c>
      <c r="CJ150" s="3">
        <f t="array" ref="CJ150">SUMPRODUCT($J150:$U150,TRANSPOSE(CJ$3:CJ$14))</f>
        <v>0</v>
      </c>
      <c r="CK150" s="3">
        <f t="array" ref="CK150">SUMPRODUCT($J150:$U150,TRANSPOSE(CK$3:CK$14))</f>
        <v>0</v>
      </c>
      <c r="CL150" s="3">
        <f t="array" ref="CL150">SUMPRODUCT($J150:$U150,TRANSPOSE(CL$3:CL$14))</f>
        <v>40</v>
      </c>
      <c r="CM150" s="3">
        <f t="array" ref="CM150">SUMPRODUCT($J150:$U150,TRANSPOSE(CM$3:CM$14))</f>
        <v>450</v>
      </c>
      <c r="CN150" s="3">
        <f t="array" ref="CN150">SUMPRODUCT($J150:$U150,TRANSPOSE(CN$3:CN$14))</f>
        <v>653</v>
      </c>
      <c r="CO150" s="3">
        <f t="array" ref="CO150">SUMPRODUCT($J150:$U150,TRANSPOSE(CO$3:CO$14))</f>
        <v>665</v>
      </c>
      <c r="CP150" s="3">
        <f t="array" ref="CP150">SUMPRODUCT($J150:$U150,TRANSPOSE(CP$3:CP$14))</f>
        <v>860</v>
      </c>
      <c r="CQ150" s="3">
        <f t="array" ref="CQ150">SUMPRODUCT($J150:$U150,TRANSPOSE(CQ$3:CQ$14))</f>
        <v>860</v>
      </c>
      <c r="CR150" s="3">
        <f t="array" ref="CR150">SUMPRODUCT($J150:$U150,TRANSPOSE(CR$3:CR$14))</f>
        <v>860</v>
      </c>
      <c r="CS150" s="3">
        <f t="array" ref="CS150">SUMPRODUCT($J150:$U150,TRANSPOSE(CS$3:CS$14))</f>
        <v>860</v>
      </c>
      <c r="CT150" s="3">
        <f t="array" ref="CT150">SUMPRODUCT($J150:$U150,TRANSPOSE(CT$3:CT$14))</f>
        <v>390</v>
      </c>
      <c r="CU150" s="3">
        <f t="array" ref="CU150">SUMPRODUCT($J150:$U150,TRANSPOSE(CU$3:CU$14))</f>
        <v>0</v>
      </c>
      <c r="CV150" s="3">
        <f t="array" ref="CV150">SUMPRODUCT($J150:$U150,TRANSPOSE(CV$3:CV$14))</f>
        <v>0</v>
      </c>
      <c r="CW150" s="3">
        <f t="array" ref="CW150">SUMPRODUCT($J150:$U150,TRANSPOSE(CW$3:CW$14))</f>
        <v>0</v>
      </c>
      <c r="CX150" s="3">
        <f t="array" ref="CX150">SUMPRODUCT($J150:$U150,TRANSPOSE(CX$3:CX$14))</f>
        <v>0</v>
      </c>
      <c r="CY150" s="3">
        <f t="array" ref="CY150">SUMPRODUCT($J150:$U150,TRANSPOSE(CY$3:CY$14))</f>
        <v>0</v>
      </c>
      <c r="CZ150" s="3">
        <f t="array" ref="CZ150">SUMPRODUCT($J150:$U150,TRANSPOSE(CZ$3:CZ$14))</f>
        <v>0</v>
      </c>
      <c r="DA150" s="3">
        <f t="array" ref="DA150">SUMPRODUCT($J150:$U150,TRANSPOSE(DA$3:DA$14))</f>
        <v>0</v>
      </c>
      <c r="DB150" s="3">
        <f t="array" ref="DB150">SUMPRODUCT($J150:$U150,TRANSPOSE(DB$3:DB$14))</f>
        <v>0</v>
      </c>
      <c r="DC150" s="3">
        <f t="array" ref="DC150">SUMPRODUCT($J150:$U150,TRANSPOSE(DC$3:DC$14))</f>
        <v>0</v>
      </c>
      <c r="DD150" s="3">
        <f t="array" ref="DD150">SUMPRODUCT($J150:$U150,TRANSPOSE(DD$3:DD$14))</f>
        <v>0</v>
      </c>
      <c r="DE150" s="3">
        <f t="array" ref="DE150">SUMPRODUCT($J150:$U150,TRANSPOSE(DE$3:DE$14))</f>
        <v>0</v>
      </c>
    </row>
    <row r="151" spans="1:109" ht="13.5" thickBot="1" x14ac:dyDescent="0.25">
      <c r="A151" s="3">
        <v>659</v>
      </c>
      <c r="B151" s="9" t="s">
        <v>278</v>
      </c>
      <c r="C151" s="3" t="s">
        <v>16</v>
      </c>
      <c r="D151" s="3">
        <v>512306812</v>
      </c>
      <c r="F151" s="3" t="s">
        <v>279</v>
      </c>
      <c r="G151" s="3" t="s">
        <v>14</v>
      </c>
      <c r="H151" s="3">
        <v>2</v>
      </c>
      <c r="I151" s="3">
        <v>5</v>
      </c>
      <c r="J151" s="3">
        <v>5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f t="shared" si="43"/>
        <v>5</v>
      </c>
      <c r="W151" s="3">
        <f t="shared" si="44"/>
        <v>650</v>
      </c>
      <c r="X151" s="6" t="s">
        <v>280</v>
      </c>
      <c r="Y151" s="3">
        <v>0.15</v>
      </c>
      <c r="Z151" s="3" t="s">
        <v>594</v>
      </c>
      <c r="AA151" s="3" t="s">
        <v>128</v>
      </c>
      <c r="AB151" s="3" t="s">
        <v>129</v>
      </c>
      <c r="AC151" s="23" t="s">
        <v>130</v>
      </c>
      <c r="BJ151" s="3">
        <f>SUM($AE151,$AF151:AH151)-SUM($CH151:CK151)</f>
        <v>0</v>
      </c>
      <c r="BK151" s="3">
        <f>SUM($AE151,$AF151:AI151)-SUM($CH151:CL151)</f>
        <v>0</v>
      </c>
      <c r="BL151" s="3">
        <f>SUM($AE151,$AF151:AJ151)-SUM($CH151:CM151)</f>
        <v>-50</v>
      </c>
      <c r="BM151" s="3">
        <f>SUM($AE151,$AF151:AK151)-SUM($CH151:CN151)</f>
        <v>-125</v>
      </c>
      <c r="BN151" s="3">
        <f>SUM($AE151,$AF151:AL151)-SUM($CH151:CO151)</f>
        <v>-200</v>
      </c>
      <c r="BO151" s="3">
        <f>SUM($AE151,$AF151:AM151)-SUM($CH151:CP151)</f>
        <v>-300</v>
      </c>
      <c r="BP151" s="3">
        <f>SUM($AE151,$AF151:AN151)-SUM($CH151:CQ151)</f>
        <v>-400</v>
      </c>
      <c r="BQ151" s="3">
        <f>SUM($AE151,$AF151:AO151)-SUM($CH151:CR151)</f>
        <v>-500</v>
      </c>
      <c r="BR151" s="3">
        <f>SUM($AE151,$AF151:AP151)-SUM($CH151:CS151)</f>
        <v>-600</v>
      </c>
      <c r="BS151" s="3">
        <f>SUM($AE151,$AF151:AQ151)-SUM($CH151:CT151)</f>
        <v>-650</v>
      </c>
      <c r="BT151" s="3">
        <f>SUM($AE151,$AF151:AR151)-SUM($CH151:CU151)</f>
        <v>-650</v>
      </c>
      <c r="BU151" s="3">
        <f>SUM($AE151,$AF151:AS151)-SUM($CH151:CV151)</f>
        <v>-650</v>
      </c>
      <c r="BV151" s="3">
        <f>SUM($AE151,$AF151:AT151)-SUM($CH151:CW151)</f>
        <v>-650</v>
      </c>
      <c r="BW151" s="3">
        <f>SUM($AE151,$AF151:AU151)-SUM($CH151:CX151)</f>
        <v>-650</v>
      </c>
      <c r="BX151" s="3">
        <f>SUM($AE151,$AF151:AV151)-SUM($CH151:CY151)</f>
        <v>-650</v>
      </c>
      <c r="BY151" s="3">
        <f>SUM($AE151,$AF151:AW151)-SUM($CH151:CZ151)</f>
        <v>-650</v>
      </c>
      <c r="BZ151" s="3">
        <f>SUM($AE151,$AF151:AX151)-SUM($CH151:DA151)</f>
        <v>-650</v>
      </c>
      <c r="CA151" s="3">
        <f>SUM($AE151,$AF151:AY151)-SUM($CH151:DB151)</f>
        <v>-650</v>
      </c>
      <c r="CB151" s="3">
        <f>SUM($AE151,$AF151:AZ151)-SUM($CH151:DC151)</f>
        <v>-650</v>
      </c>
      <c r="CC151" s="3">
        <f>SUM($AE151,$AF151:BA151)-SUM($CH151:DD151)</f>
        <v>-650</v>
      </c>
      <c r="CI151" s="3">
        <f t="array" ref="CI151">SUMPRODUCT($J151:$U151,TRANSPOSE(CI$3:CI$14))</f>
        <v>0</v>
      </c>
      <c r="CJ151" s="3">
        <f t="array" ref="CJ151">SUMPRODUCT($J151:$U151,TRANSPOSE(CJ$3:CJ$14))</f>
        <v>0</v>
      </c>
      <c r="CK151" s="3">
        <f t="array" ref="CK151">SUMPRODUCT($J151:$U151,TRANSPOSE(CK$3:CK$14))</f>
        <v>0</v>
      </c>
      <c r="CL151" s="3">
        <f t="array" ref="CL151">SUMPRODUCT($J151:$U151,TRANSPOSE(CL$3:CL$14))</f>
        <v>0</v>
      </c>
      <c r="CM151" s="3">
        <f t="array" ref="CM151">SUMPRODUCT($J151:$U151,TRANSPOSE(CM$3:CM$14))</f>
        <v>50</v>
      </c>
      <c r="CN151" s="3">
        <f t="array" ref="CN151">SUMPRODUCT($J151:$U151,TRANSPOSE(CN$3:CN$14))</f>
        <v>75</v>
      </c>
      <c r="CO151" s="3">
        <f t="array" ref="CO151">SUMPRODUCT($J151:$U151,TRANSPOSE(CO$3:CO$14))</f>
        <v>75</v>
      </c>
      <c r="CP151" s="3">
        <f t="array" ref="CP151">SUMPRODUCT($J151:$U151,TRANSPOSE(CP$3:CP$14))</f>
        <v>100</v>
      </c>
      <c r="CQ151" s="3">
        <f t="array" ref="CQ151">SUMPRODUCT($J151:$U151,TRANSPOSE(CQ$3:CQ$14))</f>
        <v>100</v>
      </c>
      <c r="CR151" s="3">
        <f t="array" ref="CR151">SUMPRODUCT($J151:$U151,TRANSPOSE(CR$3:CR$14))</f>
        <v>100</v>
      </c>
      <c r="CS151" s="3">
        <f t="array" ref="CS151">SUMPRODUCT($J151:$U151,TRANSPOSE(CS$3:CS$14))</f>
        <v>100</v>
      </c>
      <c r="CT151" s="3">
        <f t="array" ref="CT151">SUMPRODUCT($J151:$U151,TRANSPOSE(CT$3:CT$14))</f>
        <v>50</v>
      </c>
      <c r="CU151" s="3">
        <f t="array" ref="CU151">SUMPRODUCT($J151:$U151,TRANSPOSE(CU$3:CU$14))</f>
        <v>0</v>
      </c>
      <c r="CV151" s="3">
        <f t="array" ref="CV151">SUMPRODUCT($J151:$U151,TRANSPOSE(CV$3:CV$14))</f>
        <v>0</v>
      </c>
      <c r="CW151" s="3">
        <f t="array" ref="CW151">SUMPRODUCT($J151:$U151,TRANSPOSE(CW$3:CW$14))</f>
        <v>0</v>
      </c>
      <c r="CX151" s="3">
        <f t="array" ref="CX151">SUMPRODUCT($J151:$U151,TRANSPOSE(CX$3:CX$14))</f>
        <v>0</v>
      </c>
      <c r="CY151" s="3">
        <f t="array" ref="CY151">SUMPRODUCT($J151:$U151,TRANSPOSE(CY$3:CY$14))</f>
        <v>0</v>
      </c>
      <c r="CZ151" s="3">
        <f t="array" ref="CZ151">SUMPRODUCT($J151:$U151,TRANSPOSE(CZ$3:CZ$14))</f>
        <v>0</v>
      </c>
      <c r="DA151" s="3">
        <f t="array" ref="DA151">SUMPRODUCT($J151:$U151,TRANSPOSE(DA$3:DA$14))</f>
        <v>0</v>
      </c>
      <c r="DB151" s="3">
        <f t="array" ref="DB151">SUMPRODUCT($J151:$U151,TRANSPOSE(DB$3:DB$14))</f>
        <v>0</v>
      </c>
      <c r="DC151" s="3">
        <f t="array" ref="DC151">SUMPRODUCT($J151:$U151,TRANSPOSE(DC$3:DC$14))</f>
        <v>0</v>
      </c>
      <c r="DD151" s="3">
        <f t="array" ref="DD151">SUMPRODUCT($J151:$U151,TRANSPOSE(DD$3:DD$14))</f>
        <v>0</v>
      </c>
      <c r="DE151" s="3">
        <f t="array" ref="DE151">SUMPRODUCT($J151:$U151,TRANSPOSE(DE$3:DE$14))</f>
        <v>0</v>
      </c>
    </row>
    <row r="152" spans="1:109" ht="13.5" thickBot="1" x14ac:dyDescent="0.25">
      <c r="A152" s="3">
        <v>667</v>
      </c>
      <c r="B152" s="9" t="s">
        <v>656</v>
      </c>
      <c r="C152" s="3" t="s">
        <v>16</v>
      </c>
      <c r="D152" s="3">
        <v>512300203</v>
      </c>
      <c r="F152" s="3" t="s">
        <v>279</v>
      </c>
      <c r="G152" s="3" t="s">
        <v>14</v>
      </c>
      <c r="H152" s="3">
        <v>2</v>
      </c>
      <c r="I152" s="3">
        <v>8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8</v>
      </c>
      <c r="U152" s="3">
        <v>0</v>
      </c>
      <c r="V152" s="3">
        <f t="shared" si="43"/>
        <v>8</v>
      </c>
      <c r="W152" s="3">
        <f t="shared" si="44"/>
        <v>1160</v>
      </c>
      <c r="X152" s="6" t="s">
        <v>280</v>
      </c>
      <c r="Y152" s="3">
        <v>0.17</v>
      </c>
      <c r="Z152" s="3" t="s">
        <v>594</v>
      </c>
      <c r="AA152" s="3" t="s">
        <v>128</v>
      </c>
      <c r="AB152" s="3" t="s">
        <v>129</v>
      </c>
      <c r="AC152" s="23" t="s">
        <v>130</v>
      </c>
      <c r="BJ152" s="3">
        <f>SUM($AE152,$AF152:AH152)-SUM($CH152:CK152)</f>
        <v>0</v>
      </c>
      <c r="BK152" s="3">
        <f>SUM($AE152,$AF152:AI152)-SUM($CH152:CL152)</f>
        <v>-80</v>
      </c>
      <c r="BL152" s="3">
        <f>SUM($AE152,$AF152:AJ152)-SUM($CH152:CM152)</f>
        <v>-200</v>
      </c>
      <c r="BM152" s="3">
        <f>SUM($AE152,$AF152:AK152)-SUM($CH152:CN152)</f>
        <v>-360</v>
      </c>
      <c r="BN152" s="3">
        <f>SUM($AE152,$AF152:AL152)-SUM($CH152:CO152)</f>
        <v>-520</v>
      </c>
      <c r="BO152" s="3">
        <f>SUM($AE152,$AF152:AM152)-SUM($CH152:CP152)</f>
        <v>-680</v>
      </c>
      <c r="BP152" s="3">
        <f>SUM($AE152,$AF152:AN152)-SUM($CH152:CQ152)</f>
        <v>-840</v>
      </c>
      <c r="BQ152" s="3">
        <f>SUM($AE152,$AF152:AO152)-SUM($CH152:CR152)</f>
        <v>-1000</v>
      </c>
      <c r="BR152" s="3">
        <f>SUM($AE152,$AF152:AP152)-SUM($CH152:CS152)</f>
        <v>-1160</v>
      </c>
      <c r="BS152" s="3">
        <f>SUM($AE152,$AF152:AQ152)-SUM($CH152:CT152)</f>
        <v>-1160</v>
      </c>
      <c r="BT152" s="3">
        <f>SUM($AE152,$AF152:AR152)-SUM($CH152:CU152)</f>
        <v>-1160</v>
      </c>
      <c r="BU152" s="3">
        <f>SUM($AE152,$AF152:AS152)-SUM($CH152:CV152)</f>
        <v>-1160</v>
      </c>
      <c r="BV152" s="3">
        <f>SUM($AE152,$AF152:AT152)-SUM($CH152:CW152)</f>
        <v>-1160</v>
      </c>
      <c r="BW152" s="3">
        <f>SUM($AE152,$AF152:AU152)-SUM($CH152:CX152)</f>
        <v>-1160</v>
      </c>
      <c r="BX152" s="3">
        <f>SUM($AE152,$AF152:AV152)-SUM($CH152:CY152)</f>
        <v>-1160</v>
      </c>
      <c r="BY152" s="3">
        <f>SUM($AE152,$AF152:AW152)-SUM($CH152:CZ152)</f>
        <v>-1160</v>
      </c>
      <c r="BZ152" s="3">
        <f>SUM($AE152,$AF152:AX152)-SUM($CH152:DA152)</f>
        <v>-1160</v>
      </c>
      <c r="CA152" s="3">
        <f>SUM($AE152,$AF152:AY152)-SUM($CH152:DB152)</f>
        <v>-1160</v>
      </c>
      <c r="CB152" s="3">
        <f>SUM($AE152,$AF152:AZ152)-SUM($CH152:DC152)</f>
        <v>-1160</v>
      </c>
      <c r="CC152" s="3">
        <f>SUM($AE152,$AF152:BA152)-SUM($CH152:DD152)</f>
        <v>-1160</v>
      </c>
      <c r="CI152" s="3">
        <f t="array" ref="CI152">SUMPRODUCT($J152:$U152,TRANSPOSE(CI$3:CI$14))</f>
        <v>0</v>
      </c>
      <c r="CJ152" s="3">
        <f t="array" ref="CJ152">SUMPRODUCT($J152:$U152,TRANSPOSE(CJ$3:CJ$14))</f>
        <v>0</v>
      </c>
      <c r="CK152" s="3">
        <f t="array" ref="CK152">SUMPRODUCT($J152:$U152,TRANSPOSE(CK$3:CK$14))</f>
        <v>0</v>
      </c>
      <c r="CL152" s="3">
        <f t="array" ref="CL152">SUMPRODUCT($J152:$U152,TRANSPOSE(CL$3:CL$14))</f>
        <v>80</v>
      </c>
      <c r="CM152" s="3">
        <f t="array" ref="CM152">SUMPRODUCT($J152:$U152,TRANSPOSE(CM$3:CM$14))</f>
        <v>120</v>
      </c>
      <c r="CN152" s="3">
        <f t="array" ref="CN152">SUMPRODUCT($J152:$U152,TRANSPOSE(CN$3:CN$14))</f>
        <v>160</v>
      </c>
      <c r="CO152" s="3">
        <f t="array" ref="CO152">SUMPRODUCT($J152:$U152,TRANSPOSE(CO$3:CO$14))</f>
        <v>160</v>
      </c>
      <c r="CP152" s="3">
        <f t="array" ref="CP152">SUMPRODUCT($J152:$U152,TRANSPOSE(CP$3:CP$14))</f>
        <v>160</v>
      </c>
      <c r="CQ152" s="3">
        <f t="array" ref="CQ152">SUMPRODUCT($J152:$U152,TRANSPOSE(CQ$3:CQ$14))</f>
        <v>160</v>
      </c>
      <c r="CR152" s="3">
        <f t="array" ref="CR152">SUMPRODUCT($J152:$U152,TRANSPOSE(CR$3:CR$14))</f>
        <v>160</v>
      </c>
      <c r="CS152" s="3">
        <f t="array" ref="CS152">SUMPRODUCT($J152:$U152,TRANSPOSE(CS$3:CS$14))</f>
        <v>160</v>
      </c>
      <c r="CT152" s="3">
        <f t="array" ref="CT152">SUMPRODUCT($J152:$U152,TRANSPOSE(CT$3:CT$14))</f>
        <v>0</v>
      </c>
      <c r="CU152" s="3">
        <f t="array" ref="CU152">SUMPRODUCT($J152:$U152,TRANSPOSE(CU$3:CU$14))</f>
        <v>0</v>
      </c>
      <c r="CV152" s="3">
        <f t="array" ref="CV152">SUMPRODUCT($J152:$U152,TRANSPOSE(CV$3:CV$14))</f>
        <v>0</v>
      </c>
      <c r="CW152" s="3">
        <f t="array" ref="CW152">SUMPRODUCT($J152:$U152,TRANSPOSE(CW$3:CW$14))</f>
        <v>0</v>
      </c>
      <c r="CX152" s="3">
        <f t="array" ref="CX152">SUMPRODUCT($J152:$U152,TRANSPOSE(CX$3:CX$14))</f>
        <v>0</v>
      </c>
      <c r="CY152" s="3">
        <f t="array" ref="CY152">SUMPRODUCT($J152:$U152,TRANSPOSE(CY$3:CY$14))</f>
        <v>0</v>
      </c>
      <c r="CZ152" s="3">
        <f t="array" ref="CZ152">SUMPRODUCT($J152:$U152,TRANSPOSE(CZ$3:CZ$14))</f>
        <v>0</v>
      </c>
      <c r="DA152" s="3">
        <f t="array" ref="DA152">SUMPRODUCT($J152:$U152,TRANSPOSE(DA$3:DA$14))</f>
        <v>0</v>
      </c>
      <c r="DB152" s="3">
        <f t="array" ref="DB152">SUMPRODUCT($J152:$U152,TRANSPOSE(DB$3:DB$14))</f>
        <v>0</v>
      </c>
      <c r="DC152" s="3">
        <f t="array" ref="DC152">SUMPRODUCT($J152:$U152,TRANSPOSE(DC$3:DC$14))</f>
        <v>0</v>
      </c>
      <c r="DD152" s="3">
        <f t="array" ref="DD152">SUMPRODUCT($J152:$U152,TRANSPOSE(DD$3:DD$14))</f>
        <v>0</v>
      </c>
      <c r="DE152" s="3">
        <f t="array" ref="DE152">SUMPRODUCT($J152:$U152,TRANSPOSE(DE$3:DE$14))</f>
        <v>0</v>
      </c>
    </row>
    <row r="153" spans="1:109" ht="13.5" thickBot="1" x14ac:dyDescent="0.25">
      <c r="A153" s="3">
        <v>669</v>
      </c>
      <c r="B153" s="9" t="s">
        <v>657</v>
      </c>
      <c r="C153" s="3" t="s">
        <v>16</v>
      </c>
      <c r="D153" s="3">
        <v>512313172</v>
      </c>
      <c r="E153" s="3">
        <v>401411623</v>
      </c>
      <c r="F153" s="3" t="s">
        <v>284</v>
      </c>
      <c r="G153" s="3" t="s">
        <v>14</v>
      </c>
      <c r="H153" s="3">
        <v>2</v>
      </c>
      <c r="I153" s="3">
        <v>40</v>
      </c>
      <c r="J153" s="3">
        <v>8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f t="shared" si="43"/>
        <v>8</v>
      </c>
      <c r="W153" s="3">
        <f t="shared" si="44"/>
        <v>1040</v>
      </c>
      <c r="X153" s="6" t="s">
        <v>280</v>
      </c>
      <c r="Y153" s="3">
        <v>0.06</v>
      </c>
      <c r="Z153" s="3" t="s">
        <v>594</v>
      </c>
      <c r="AA153" s="3" t="s">
        <v>128</v>
      </c>
      <c r="AB153" s="3" t="s">
        <v>129</v>
      </c>
      <c r="AC153" s="23" t="s">
        <v>130</v>
      </c>
      <c r="BJ153" s="3">
        <f>SUM($AE153,$AF153:AH153)-SUM($CH153:CK153)</f>
        <v>0</v>
      </c>
      <c r="BK153" s="3">
        <f>SUM($AE153,$AF153:AI153)-SUM($CH153:CL153)</f>
        <v>0</v>
      </c>
      <c r="BL153" s="3">
        <f>SUM($AE153,$AF153:AJ153)-SUM($CH153:CM153)</f>
        <v>-80</v>
      </c>
      <c r="BM153" s="3">
        <f>SUM($AE153,$AF153:AK153)-SUM($CH153:CN153)</f>
        <v>-200</v>
      </c>
      <c r="BN153" s="3">
        <f>SUM($AE153,$AF153:AL153)-SUM($CH153:CO153)</f>
        <v>-320</v>
      </c>
      <c r="BO153" s="3">
        <f>SUM($AE153,$AF153:AM153)-SUM($CH153:CP153)</f>
        <v>-480</v>
      </c>
      <c r="BP153" s="3">
        <f>SUM($AE153,$AF153:AN153)-SUM($CH153:CQ153)</f>
        <v>-640</v>
      </c>
      <c r="BQ153" s="3">
        <f>SUM($AE153,$AF153:AO153)-SUM($CH153:CR153)</f>
        <v>-800</v>
      </c>
      <c r="BR153" s="3">
        <f>SUM($AE153,$AF153:AP153)-SUM($CH153:CS153)</f>
        <v>-960</v>
      </c>
      <c r="BS153" s="3">
        <f>SUM($AE153,$AF153:AQ153)-SUM($CH153:CT153)</f>
        <v>-1040</v>
      </c>
      <c r="BT153" s="3">
        <f>SUM($AE153,$AF153:AR153)-SUM($CH153:CU153)</f>
        <v>-1040</v>
      </c>
      <c r="BU153" s="3">
        <f>SUM($AE153,$AF153:AS153)-SUM($CH153:CV153)</f>
        <v>-1040</v>
      </c>
      <c r="BV153" s="3">
        <f>SUM($AE153,$AF153:AT153)-SUM($CH153:CW153)</f>
        <v>-1040</v>
      </c>
      <c r="BW153" s="3">
        <f>SUM($AE153,$AF153:AU153)-SUM($CH153:CX153)</f>
        <v>-1040</v>
      </c>
      <c r="BX153" s="3">
        <f>SUM($AE153,$AF153:AV153)-SUM($CH153:CY153)</f>
        <v>-1040</v>
      </c>
      <c r="BY153" s="3">
        <f>SUM($AE153,$AF153:AW153)-SUM($CH153:CZ153)</f>
        <v>-1040</v>
      </c>
      <c r="BZ153" s="3">
        <f>SUM($AE153,$AF153:AX153)-SUM($CH153:DA153)</f>
        <v>-1040</v>
      </c>
      <c r="CA153" s="3">
        <f>SUM($AE153,$AF153:AY153)-SUM($CH153:DB153)</f>
        <v>-1040</v>
      </c>
      <c r="CB153" s="3">
        <f>SUM($AE153,$AF153:AZ153)-SUM($CH153:DC153)</f>
        <v>-1040</v>
      </c>
      <c r="CC153" s="3">
        <f>SUM($AE153,$AF153:BA153)-SUM($CH153:DD153)</f>
        <v>-1040</v>
      </c>
      <c r="CI153" s="3">
        <f t="array" ref="CI153">SUMPRODUCT($J153:$U153,TRANSPOSE(CI$3:CI$14))</f>
        <v>0</v>
      </c>
      <c r="CJ153" s="3">
        <f t="array" ref="CJ153">SUMPRODUCT($J153:$U153,TRANSPOSE(CJ$3:CJ$14))</f>
        <v>0</v>
      </c>
      <c r="CK153" s="3">
        <f t="array" ref="CK153">SUMPRODUCT($J153:$U153,TRANSPOSE(CK$3:CK$14))</f>
        <v>0</v>
      </c>
      <c r="CL153" s="3">
        <f t="array" ref="CL153">SUMPRODUCT($J153:$U153,TRANSPOSE(CL$3:CL$14))</f>
        <v>0</v>
      </c>
      <c r="CM153" s="3">
        <f t="array" ref="CM153">SUMPRODUCT($J153:$U153,TRANSPOSE(CM$3:CM$14))</f>
        <v>80</v>
      </c>
      <c r="CN153" s="3">
        <f t="array" ref="CN153">SUMPRODUCT($J153:$U153,TRANSPOSE(CN$3:CN$14))</f>
        <v>120</v>
      </c>
      <c r="CO153" s="3">
        <f t="array" ref="CO153">SUMPRODUCT($J153:$U153,TRANSPOSE(CO$3:CO$14))</f>
        <v>120</v>
      </c>
      <c r="CP153" s="3">
        <f t="array" ref="CP153">SUMPRODUCT($J153:$U153,TRANSPOSE(CP$3:CP$14))</f>
        <v>160</v>
      </c>
      <c r="CQ153" s="3">
        <f t="array" ref="CQ153">SUMPRODUCT($J153:$U153,TRANSPOSE(CQ$3:CQ$14))</f>
        <v>160</v>
      </c>
      <c r="CR153" s="3">
        <f t="array" ref="CR153">SUMPRODUCT($J153:$U153,TRANSPOSE(CR$3:CR$14))</f>
        <v>160</v>
      </c>
      <c r="CS153" s="3">
        <f t="array" ref="CS153">SUMPRODUCT($J153:$U153,TRANSPOSE(CS$3:CS$14))</f>
        <v>160</v>
      </c>
      <c r="CT153" s="3">
        <f t="array" ref="CT153">SUMPRODUCT($J153:$U153,TRANSPOSE(CT$3:CT$14))</f>
        <v>80</v>
      </c>
      <c r="CU153" s="3">
        <f t="array" ref="CU153">SUMPRODUCT($J153:$U153,TRANSPOSE(CU$3:CU$14))</f>
        <v>0</v>
      </c>
      <c r="CV153" s="3">
        <f t="array" ref="CV153">SUMPRODUCT($J153:$U153,TRANSPOSE(CV$3:CV$14))</f>
        <v>0</v>
      </c>
      <c r="CW153" s="3">
        <f t="array" ref="CW153">SUMPRODUCT($J153:$U153,TRANSPOSE(CW$3:CW$14))</f>
        <v>0</v>
      </c>
      <c r="CX153" s="3">
        <f t="array" ref="CX153">SUMPRODUCT($J153:$U153,TRANSPOSE(CX$3:CX$14))</f>
        <v>0</v>
      </c>
      <c r="CY153" s="3">
        <f t="array" ref="CY153">SUMPRODUCT($J153:$U153,TRANSPOSE(CY$3:CY$14))</f>
        <v>0</v>
      </c>
      <c r="CZ153" s="3">
        <f t="array" ref="CZ153">SUMPRODUCT($J153:$U153,TRANSPOSE(CZ$3:CZ$14))</f>
        <v>0</v>
      </c>
      <c r="DA153" s="3">
        <f t="array" ref="DA153">SUMPRODUCT($J153:$U153,TRANSPOSE(DA$3:DA$14))</f>
        <v>0</v>
      </c>
      <c r="DB153" s="3">
        <f t="array" ref="DB153">SUMPRODUCT($J153:$U153,TRANSPOSE(DB$3:DB$14))</f>
        <v>0</v>
      </c>
      <c r="DC153" s="3">
        <f t="array" ref="DC153">SUMPRODUCT($J153:$U153,TRANSPOSE(DC$3:DC$14))</f>
        <v>0</v>
      </c>
      <c r="DD153" s="3">
        <f t="array" ref="DD153">SUMPRODUCT($J153:$U153,TRANSPOSE(DD$3:DD$14))</f>
        <v>0</v>
      </c>
      <c r="DE153" s="3">
        <f t="array" ref="DE153">SUMPRODUCT($J153:$U153,TRANSPOSE(DE$3:DE$14))</f>
        <v>0</v>
      </c>
    </row>
    <row r="154" spans="1:109" ht="13.5" thickBot="1" x14ac:dyDescent="0.25">
      <c r="A154" s="3">
        <v>670</v>
      </c>
      <c r="B154" s="9" t="s">
        <v>658</v>
      </c>
      <c r="C154" s="3" t="s">
        <v>16</v>
      </c>
      <c r="D154" s="3">
        <v>512312810</v>
      </c>
      <c r="E154" s="3">
        <v>401411669</v>
      </c>
      <c r="F154" s="3" t="s">
        <v>282</v>
      </c>
      <c r="G154" s="3" t="s">
        <v>14</v>
      </c>
      <c r="H154" s="3">
        <v>2</v>
      </c>
      <c r="I154" s="3">
        <v>10</v>
      </c>
      <c r="J154" s="3">
        <v>4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f t="shared" si="43"/>
        <v>4</v>
      </c>
      <c r="W154" s="3">
        <f t="shared" si="44"/>
        <v>520</v>
      </c>
      <c r="X154" s="6" t="s">
        <v>280</v>
      </c>
      <c r="Y154" s="3">
        <v>0.115</v>
      </c>
      <c r="Z154" s="3" t="s">
        <v>594</v>
      </c>
      <c r="AA154" s="3" t="s">
        <v>128</v>
      </c>
      <c r="AB154" s="3" t="s">
        <v>129</v>
      </c>
      <c r="AC154" s="23" t="s">
        <v>130</v>
      </c>
      <c r="BJ154" s="3">
        <f>SUM($AE154,$AF154:AH154)-SUM($CH154:CK154)</f>
        <v>0</v>
      </c>
      <c r="BK154" s="3">
        <f>SUM($AE154,$AF154:AI154)-SUM($CH154:CL154)</f>
        <v>0</v>
      </c>
      <c r="BL154" s="3">
        <f>SUM($AE154,$AF154:AJ154)-SUM($CH154:CM154)</f>
        <v>-40</v>
      </c>
      <c r="BM154" s="3">
        <f>SUM($AE154,$AF154:AK154)-SUM($CH154:CN154)</f>
        <v>-100</v>
      </c>
      <c r="BN154" s="3">
        <f>SUM($AE154,$AF154:AL154)-SUM($CH154:CO154)</f>
        <v>-160</v>
      </c>
      <c r="BO154" s="3">
        <f>SUM($AE154,$AF154:AM154)-SUM($CH154:CP154)</f>
        <v>-240</v>
      </c>
      <c r="BP154" s="3">
        <f>SUM($AE154,$AF154:AN154)-SUM($CH154:CQ154)</f>
        <v>-320</v>
      </c>
      <c r="BQ154" s="3">
        <f>SUM($AE154,$AF154:AO154)-SUM($CH154:CR154)</f>
        <v>-400</v>
      </c>
      <c r="BR154" s="3">
        <f>SUM($AE154,$AF154:AP154)-SUM($CH154:CS154)</f>
        <v>-480</v>
      </c>
      <c r="BS154" s="3">
        <f>SUM($AE154,$AF154:AQ154)-SUM($CH154:CT154)</f>
        <v>-520</v>
      </c>
      <c r="BT154" s="3">
        <f>SUM($AE154,$AF154:AR154)-SUM($CH154:CU154)</f>
        <v>-520</v>
      </c>
      <c r="BU154" s="3">
        <f>SUM($AE154,$AF154:AS154)-SUM($CH154:CV154)</f>
        <v>-520</v>
      </c>
      <c r="BV154" s="3">
        <f>SUM($AE154,$AF154:AT154)-SUM($CH154:CW154)</f>
        <v>-520</v>
      </c>
      <c r="BW154" s="3">
        <f>SUM($AE154,$AF154:AU154)-SUM($CH154:CX154)</f>
        <v>-520</v>
      </c>
      <c r="BX154" s="3">
        <f>SUM($AE154,$AF154:AV154)-SUM($CH154:CY154)</f>
        <v>-520</v>
      </c>
      <c r="BY154" s="3">
        <f>SUM($AE154,$AF154:AW154)-SUM($CH154:CZ154)</f>
        <v>-520</v>
      </c>
      <c r="BZ154" s="3">
        <f>SUM($AE154,$AF154:AX154)-SUM($CH154:DA154)</f>
        <v>-520</v>
      </c>
      <c r="CA154" s="3">
        <f>SUM($AE154,$AF154:AY154)-SUM($CH154:DB154)</f>
        <v>-520</v>
      </c>
      <c r="CB154" s="3">
        <f>SUM($AE154,$AF154:AZ154)-SUM($CH154:DC154)</f>
        <v>-520</v>
      </c>
      <c r="CC154" s="3">
        <f>SUM($AE154,$AF154:BA154)-SUM($CH154:DD154)</f>
        <v>-520</v>
      </c>
      <c r="CI154" s="3">
        <f t="array" ref="CI154">SUMPRODUCT($J154:$U154,TRANSPOSE(CI$3:CI$14))</f>
        <v>0</v>
      </c>
      <c r="CJ154" s="3">
        <f t="array" ref="CJ154">SUMPRODUCT($J154:$U154,TRANSPOSE(CJ$3:CJ$14))</f>
        <v>0</v>
      </c>
      <c r="CK154" s="3">
        <f t="array" ref="CK154">SUMPRODUCT($J154:$U154,TRANSPOSE(CK$3:CK$14))</f>
        <v>0</v>
      </c>
      <c r="CL154" s="3">
        <f t="array" ref="CL154">SUMPRODUCT($J154:$U154,TRANSPOSE(CL$3:CL$14))</f>
        <v>0</v>
      </c>
      <c r="CM154" s="3">
        <f t="array" ref="CM154">SUMPRODUCT($J154:$U154,TRANSPOSE(CM$3:CM$14))</f>
        <v>40</v>
      </c>
      <c r="CN154" s="3">
        <f t="array" ref="CN154">SUMPRODUCT($J154:$U154,TRANSPOSE(CN$3:CN$14))</f>
        <v>60</v>
      </c>
      <c r="CO154" s="3">
        <f t="array" ref="CO154">SUMPRODUCT($J154:$U154,TRANSPOSE(CO$3:CO$14))</f>
        <v>60</v>
      </c>
      <c r="CP154" s="3">
        <f t="array" ref="CP154">SUMPRODUCT($J154:$U154,TRANSPOSE(CP$3:CP$14))</f>
        <v>80</v>
      </c>
      <c r="CQ154" s="3">
        <f t="array" ref="CQ154">SUMPRODUCT($J154:$U154,TRANSPOSE(CQ$3:CQ$14))</f>
        <v>80</v>
      </c>
      <c r="CR154" s="3">
        <f t="array" ref="CR154">SUMPRODUCT($J154:$U154,TRANSPOSE(CR$3:CR$14))</f>
        <v>80</v>
      </c>
      <c r="CS154" s="3">
        <f t="array" ref="CS154">SUMPRODUCT($J154:$U154,TRANSPOSE(CS$3:CS$14))</f>
        <v>80</v>
      </c>
      <c r="CT154" s="3">
        <f t="array" ref="CT154">SUMPRODUCT($J154:$U154,TRANSPOSE(CT$3:CT$14))</f>
        <v>40</v>
      </c>
      <c r="CU154" s="3">
        <f t="array" ref="CU154">SUMPRODUCT($J154:$U154,TRANSPOSE(CU$3:CU$14))</f>
        <v>0</v>
      </c>
      <c r="CV154" s="3">
        <f t="array" ref="CV154">SUMPRODUCT($J154:$U154,TRANSPOSE(CV$3:CV$14))</f>
        <v>0</v>
      </c>
      <c r="CW154" s="3">
        <f t="array" ref="CW154">SUMPRODUCT($J154:$U154,TRANSPOSE(CW$3:CW$14))</f>
        <v>0</v>
      </c>
      <c r="CX154" s="3">
        <f t="array" ref="CX154">SUMPRODUCT($J154:$U154,TRANSPOSE(CX$3:CX$14))</f>
        <v>0</v>
      </c>
      <c r="CY154" s="3">
        <f t="array" ref="CY154">SUMPRODUCT($J154:$U154,TRANSPOSE(CY$3:CY$14))</f>
        <v>0</v>
      </c>
      <c r="CZ154" s="3">
        <f t="array" ref="CZ154">SUMPRODUCT($J154:$U154,TRANSPOSE(CZ$3:CZ$14))</f>
        <v>0</v>
      </c>
      <c r="DA154" s="3">
        <f t="array" ref="DA154">SUMPRODUCT($J154:$U154,TRANSPOSE(DA$3:DA$14))</f>
        <v>0</v>
      </c>
      <c r="DB154" s="3">
        <f t="array" ref="DB154">SUMPRODUCT($J154:$U154,TRANSPOSE(DB$3:DB$14))</f>
        <v>0</v>
      </c>
      <c r="DC154" s="3">
        <f t="array" ref="DC154">SUMPRODUCT($J154:$U154,TRANSPOSE(DC$3:DC$14))</f>
        <v>0</v>
      </c>
      <c r="DD154" s="3">
        <f t="array" ref="DD154">SUMPRODUCT($J154:$U154,TRANSPOSE(DD$3:DD$14))</f>
        <v>0</v>
      </c>
      <c r="DE154" s="3">
        <f t="array" ref="DE154">SUMPRODUCT($J154:$U154,TRANSPOSE(DE$3:DE$14))</f>
        <v>0</v>
      </c>
    </row>
    <row r="155" spans="1:109" ht="13.5" thickBot="1" x14ac:dyDescent="0.25">
      <c r="A155" s="3">
        <v>672</v>
      </c>
      <c r="B155" s="9" t="s">
        <v>281</v>
      </c>
      <c r="C155" s="3" t="s">
        <v>16</v>
      </c>
      <c r="D155" s="3">
        <v>512313149</v>
      </c>
      <c r="E155" s="3">
        <v>401411645</v>
      </c>
      <c r="F155" s="3" t="s">
        <v>282</v>
      </c>
      <c r="G155" s="3" t="s">
        <v>14</v>
      </c>
      <c r="H155" s="3">
        <v>2</v>
      </c>
      <c r="I155" s="3">
        <v>8</v>
      </c>
      <c r="J155" s="3">
        <v>0</v>
      </c>
      <c r="K155" s="3">
        <v>4</v>
      </c>
      <c r="L155" s="3">
        <v>0</v>
      </c>
      <c r="M155" s="3">
        <v>0</v>
      </c>
      <c r="N155" s="3">
        <v>4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f t="shared" si="43"/>
        <v>8</v>
      </c>
      <c r="W155" s="3">
        <f t="shared" si="44"/>
        <v>1040</v>
      </c>
      <c r="X155" s="6" t="s">
        <v>280</v>
      </c>
      <c r="Y155" s="3">
        <v>3.2899999999999999E-2</v>
      </c>
      <c r="Z155" s="3" t="s">
        <v>594</v>
      </c>
      <c r="AA155" s="3" t="s">
        <v>128</v>
      </c>
      <c r="AB155" s="3" t="s">
        <v>129</v>
      </c>
      <c r="AC155" s="23" t="s">
        <v>130</v>
      </c>
      <c r="BJ155" s="3">
        <f>SUM($AE155,$AF155:AH155)-SUM($CH155:CK155)</f>
        <v>0</v>
      </c>
      <c r="BK155" s="3">
        <f>SUM($AE155,$AF155:AI155)-SUM($CH155:CL155)</f>
        <v>-80</v>
      </c>
      <c r="BL155" s="3">
        <f>SUM($AE155,$AF155:AJ155)-SUM($CH155:CM155)</f>
        <v>-200</v>
      </c>
      <c r="BM155" s="3">
        <f>SUM($AE155,$AF155:AK155)-SUM($CH155:CN155)</f>
        <v>-320</v>
      </c>
      <c r="BN155" s="3">
        <f>SUM($AE155,$AF155:AL155)-SUM($CH155:CO155)</f>
        <v>-480</v>
      </c>
      <c r="BO155" s="3">
        <f>SUM($AE155,$AF155:AM155)-SUM($CH155:CP155)</f>
        <v>-640</v>
      </c>
      <c r="BP155" s="3">
        <f>SUM($AE155,$AF155:AN155)-SUM($CH155:CQ155)</f>
        <v>-800</v>
      </c>
      <c r="BQ155" s="3">
        <f>SUM($AE155,$AF155:AO155)-SUM($CH155:CR155)</f>
        <v>-960</v>
      </c>
      <c r="BR155" s="3">
        <f>SUM($AE155,$AF155:AP155)-SUM($CH155:CS155)</f>
        <v>-1040</v>
      </c>
      <c r="BS155" s="3">
        <f>SUM($AE155,$AF155:AQ155)-SUM($CH155:CT155)</f>
        <v>-1040</v>
      </c>
      <c r="BT155" s="3">
        <f>SUM($AE155,$AF155:AR155)-SUM($CH155:CU155)</f>
        <v>-1040</v>
      </c>
      <c r="BU155" s="3">
        <f>SUM($AE155,$AF155:AS155)-SUM($CH155:CV155)</f>
        <v>-1040</v>
      </c>
      <c r="BV155" s="3">
        <f>SUM($AE155,$AF155:AT155)-SUM($CH155:CW155)</f>
        <v>-1040</v>
      </c>
      <c r="BW155" s="3">
        <f>SUM($AE155,$AF155:AU155)-SUM($CH155:CX155)</f>
        <v>-1040</v>
      </c>
      <c r="BX155" s="3">
        <f>SUM($AE155,$AF155:AV155)-SUM($CH155:CY155)</f>
        <v>-1040</v>
      </c>
      <c r="BY155" s="3">
        <f>SUM($AE155,$AF155:AW155)-SUM($CH155:CZ155)</f>
        <v>-1040</v>
      </c>
      <c r="BZ155" s="3">
        <f>SUM($AE155,$AF155:AX155)-SUM($CH155:DA155)</f>
        <v>-1040</v>
      </c>
      <c r="CA155" s="3">
        <f>SUM($AE155,$AF155:AY155)-SUM($CH155:DB155)</f>
        <v>-1040</v>
      </c>
      <c r="CB155" s="3">
        <f>SUM($AE155,$AF155:AZ155)-SUM($CH155:DC155)</f>
        <v>-1040</v>
      </c>
      <c r="CC155" s="3">
        <f>SUM($AE155,$AF155:BA155)-SUM($CH155:DD155)</f>
        <v>-1040</v>
      </c>
      <c r="CI155" s="3">
        <f t="array" ref="CI155">SUMPRODUCT($J155:$U155,TRANSPOSE(CI$3:CI$14))</f>
        <v>0</v>
      </c>
      <c r="CJ155" s="3">
        <f t="array" ref="CJ155">SUMPRODUCT($J155:$U155,TRANSPOSE(CJ$3:CJ$14))</f>
        <v>0</v>
      </c>
      <c r="CK155" s="3">
        <f t="array" ref="CK155">SUMPRODUCT($J155:$U155,TRANSPOSE(CK$3:CK$14))</f>
        <v>0</v>
      </c>
      <c r="CL155" s="3">
        <f t="array" ref="CL155">SUMPRODUCT($J155:$U155,TRANSPOSE(CL$3:CL$14))</f>
        <v>80</v>
      </c>
      <c r="CM155" s="3">
        <f t="array" ref="CM155">SUMPRODUCT($J155:$U155,TRANSPOSE(CM$3:CM$14))</f>
        <v>120</v>
      </c>
      <c r="CN155" s="3">
        <f t="array" ref="CN155">SUMPRODUCT($J155:$U155,TRANSPOSE(CN$3:CN$14))</f>
        <v>120</v>
      </c>
      <c r="CO155" s="3">
        <f t="array" ref="CO155">SUMPRODUCT($J155:$U155,TRANSPOSE(CO$3:CO$14))</f>
        <v>160</v>
      </c>
      <c r="CP155" s="3">
        <f t="array" ref="CP155">SUMPRODUCT($J155:$U155,TRANSPOSE(CP$3:CP$14))</f>
        <v>160</v>
      </c>
      <c r="CQ155" s="3">
        <f t="array" ref="CQ155">SUMPRODUCT($J155:$U155,TRANSPOSE(CQ$3:CQ$14))</f>
        <v>160</v>
      </c>
      <c r="CR155" s="3">
        <f t="array" ref="CR155">SUMPRODUCT($J155:$U155,TRANSPOSE(CR$3:CR$14))</f>
        <v>160</v>
      </c>
      <c r="CS155" s="3">
        <f t="array" ref="CS155">SUMPRODUCT($J155:$U155,TRANSPOSE(CS$3:CS$14))</f>
        <v>80</v>
      </c>
      <c r="CT155" s="3">
        <f t="array" ref="CT155">SUMPRODUCT($J155:$U155,TRANSPOSE(CT$3:CT$14))</f>
        <v>0</v>
      </c>
      <c r="CU155" s="3">
        <f t="array" ref="CU155">SUMPRODUCT($J155:$U155,TRANSPOSE(CU$3:CU$14))</f>
        <v>0</v>
      </c>
      <c r="CV155" s="3">
        <f t="array" ref="CV155">SUMPRODUCT($J155:$U155,TRANSPOSE(CV$3:CV$14))</f>
        <v>0</v>
      </c>
      <c r="CW155" s="3">
        <f t="array" ref="CW155">SUMPRODUCT($J155:$U155,TRANSPOSE(CW$3:CW$14))</f>
        <v>0</v>
      </c>
      <c r="CX155" s="3">
        <f t="array" ref="CX155">SUMPRODUCT($J155:$U155,TRANSPOSE(CX$3:CX$14))</f>
        <v>0</v>
      </c>
      <c r="CY155" s="3">
        <f t="array" ref="CY155">SUMPRODUCT($J155:$U155,TRANSPOSE(CY$3:CY$14))</f>
        <v>0</v>
      </c>
      <c r="CZ155" s="3">
        <f t="array" ref="CZ155">SUMPRODUCT($J155:$U155,TRANSPOSE(CZ$3:CZ$14))</f>
        <v>0</v>
      </c>
      <c r="DA155" s="3">
        <f t="array" ref="DA155">SUMPRODUCT($J155:$U155,TRANSPOSE(DA$3:DA$14))</f>
        <v>0</v>
      </c>
      <c r="DB155" s="3">
        <f t="array" ref="DB155">SUMPRODUCT($J155:$U155,TRANSPOSE(DB$3:DB$14))</f>
        <v>0</v>
      </c>
      <c r="DC155" s="3">
        <f t="array" ref="DC155">SUMPRODUCT($J155:$U155,TRANSPOSE(DC$3:DC$14))</f>
        <v>0</v>
      </c>
      <c r="DD155" s="3">
        <f t="array" ref="DD155">SUMPRODUCT($J155:$U155,TRANSPOSE(DD$3:DD$14))</f>
        <v>0</v>
      </c>
      <c r="DE155" s="3">
        <f t="array" ref="DE155">SUMPRODUCT($J155:$U155,TRANSPOSE(DE$3:DE$14))</f>
        <v>0</v>
      </c>
    </row>
    <row r="156" spans="1:109" ht="13.5" thickBot="1" x14ac:dyDescent="0.25">
      <c r="A156" s="3">
        <v>674</v>
      </c>
      <c r="B156" s="9" t="s">
        <v>659</v>
      </c>
      <c r="C156" s="3" t="s">
        <v>16</v>
      </c>
      <c r="D156" s="3">
        <v>512306184</v>
      </c>
      <c r="F156" s="3" t="s">
        <v>284</v>
      </c>
      <c r="G156" s="3" t="s">
        <v>14</v>
      </c>
      <c r="H156" s="3">
        <v>2</v>
      </c>
      <c r="I156" s="3">
        <v>16</v>
      </c>
      <c r="J156" s="3">
        <v>16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f t="shared" si="43"/>
        <v>16</v>
      </c>
      <c r="W156" s="3">
        <f t="shared" si="44"/>
        <v>2080</v>
      </c>
      <c r="X156" s="6" t="s">
        <v>280</v>
      </c>
      <c r="Y156" s="3">
        <v>7.0000000000000007E-2</v>
      </c>
      <c r="Z156" s="3" t="s">
        <v>594</v>
      </c>
      <c r="AA156" s="3" t="s">
        <v>128</v>
      </c>
      <c r="AB156" s="3" t="s">
        <v>129</v>
      </c>
      <c r="AC156" s="23" t="s">
        <v>130</v>
      </c>
      <c r="BJ156" s="3">
        <f>SUM($AE156,$AF156:AH156)-SUM($CH156:CK156)</f>
        <v>0</v>
      </c>
      <c r="BK156" s="3">
        <f>SUM($AE156,$AF156:AI156)-SUM($CH156:CL156)</f>
        <v>0</v>
      </c>
      <c r="BL156" s="3">
        <f>SUM($AE156,$AF156:AJ156)-SUM($CH156:CM156)</f>
        <v>-160</v>
      </c>
      <c r="BM156" s="3">
        <f>SUM($AE156,$AF156:AK156)-SUM($CH156:CN156)</f>
        <v>-400</v>
      </c>
      <c r="BN156" s="3">
        <f>SUM($AE156,$AF156:AL156)-SUM($CH156:CO156)</f>
        <v>-640</v>
      </c>
      <c r="BO156" s="3">
        <f>SUM($AE156,$AF156:AM156)-SUM($CH156:CP156)</f>
        <v>-960</v>
      </c>
      <c r="BP156" s="3">
        <f>SUM($AE156,$AF156:AN156)-SUM($CH156:CQ156)</f>
        <v>-1280</v>
      </c>
      <c r="BQ156" s="3">
        <f>SUM($AE156,$AF156:AO156)-SUM($CH156:CR156)</f>
        <v>-1600</v>
      </c>
      <c r="BR156" s="3">
        <f>SUM($AE156,$AF156:AP156)-SUM($CH156:CS156)</f>
        <v>-1920</v>
      </c>
      <c r="BS156" s="3">
        <f>SUM($AE156,$AF156:AQ156)-SUM($CH156:CT156)</f>
        <v>-2080</v>
      </c>
      <c r="BT156" s="3">
        <f>SUM($AE156,$AF156:AR156)-SUM($CH156:CU156)</f>
        <v>-2080</v>
      </c>
      <c r="BU156" s="3">
        <f>SUM($AE156,$AF156:AS156)-SUM($CH156:CV156)</f>
        <v>-2080</v>
      </c>
      <c r="BV156" s="3">
        <f>SUM($AE156,$AF156:AT156)-SUM($CH156:CW156)</f>
        <v>-2080</v>
      </c>
      <c r="BW156" s="3">
        <f>SUM($AE156,$AF156:AU156)-SUM($CH156:CX156)</f>
        <v>-2080</v>
      </c>
      <c r="BX156" s="3">
        <f>SUM($AE156,$AF156:AV156)-SUM($CH156:CY156)</f>
        <v>-2080</v>
      </c>
      <c r="BY156" s="3">
        <f>SUM($AE156,$AF156:AW156)-SUM($CH156:CZ156)</f>
        <v>-2080</v>
      </c>
      <c r="BZ156" s="3">
        <f>SUM($AE156,$AF156:AX156)-SUM($CH156:DA156)</f>
        <v>-2080</v>
      </c>
      <c r="CA156" s="3">
        <f>SUM($AE156,$AF156:AY156)-SUM($CH156:DB156)</f>
        <v>-2080</v>
      </c>
      <c r="CB156" s="3">
        <f>SUM($AE156,$AF156:AZ156)-SUM($CH156:DC156)</f>
        <v>-2080</v>
      </c>
      <c r="CC156" s="3">
        <f>SUM($AE156,$AF156:BA156)-SUM($CH156:DD156)</f>
        <v>-2080</v>
      </c>
      <c r="CI156" s="3">
        <f t="array" ref="CI156">SUMPRODUCT($J156:$U156,TRANSPOSE(CI$3:CI$14))</f>
        <v>0</v>
      </c>
      <c r="CJ156" s="3">
        <f t="array" ref="CJ156">SUMPRODUCT($J156:$U156,TRANSPOSE(CJ$3:CJ$14))</f>
        <v>0</v>
      </c>
      <c r="CK156" s="3">
        <f t="array" ref="CK156">SUMPRODUCT($J156:$U156,TRANSPOSE(CK$3:CK$14))</f>
        <v>0</v>
      </c>
      <c r="CL156" s="3">
        <f t="array" ref="CL156">SUMPRODUCT($J156:$U156,TRANSPOSE(CL$3:CL$14))</f>
        <v>0</v>
      </c>
      <c r="CM156" s="3">
        <f t="array" ref="CM156">SUMPRODUCT($J156:$U156,TRANSPOSE(CM$3:CM$14))</f>
        <v>160</v>
      </c>
      <c r="CN156" s="3">
        <f t="array" ref="CN156">SUMPRODUCT($J156:$U156,TRANSPOSE(CN$3:CN$14))</f>
        <v>240</v>
      </c>
      <c r="CO156" s="3">
        <f t="array" ref="CO156">SUMPRODUCT($J156:$U156,TRANSPOSE(CO$3:CO$14))</f>
        <v>240</v>
      </c>
      <c r="CP156" s="3">
        <f t="array" ref="CP156">SUMPRODUCT($J156:$U156,TRANSPOSE(CP$3:CP$14))</f>
        <v>320</v>
      </c>
      <c r="CQ156" s="3">
        <f t="array" ref="CQ156">SUMPRODUCT($J156:$U156,TRANSPOSE(CQ$3:CQ$14))</f>
        <v>320</v>
      </c>
      <c r="CR156" s="3">
        <f t="array" ref="CR156">SUMPRODUCT($J156:$U156,TRANSPOSE(CR$3:CR$14))</f>
        <v>320</v>
      </c>
      <c r="CS156" s="3">
        <f t="array" ref="CS156">SUMPRODUCT($J156:$U156,TRANSPOSE(CS$3:CS$14))</f>
        <v>320</v>
      </c>
      <c r="CT156" s="3">
        <f t="array" ref="CT156">SUMPRODUCT($J156:$U156,TRANSPOSE(CT$3:CT$14))</f>
        <v>160</v>
      </c>
      <c r="CU156" s="3">
        <f t="array" ref="CU156">SUMPRODUCT($J156:$U156,TRANSPOSE(CU$3:CU$14))</f>
        <v>0</v>
      </c>
      <c r="CV156" s="3">
        <f t="array" ref="CV156">SUMPRODUCT($J156:$U156,TRANSPOSE(CV$3:CV$14))</f>
        <v>0</v>
      </c>
      <c r="CW156" s="3">
        <f t="array" ref="CW156">SUMPRODUCT($J156:$U156,TRANSPOSE(CW$3:CW$14))</f>
        <v>0</v>
      </c>
      <c r="CX156" s="3">
        <f t="array" ref="CX156">SUMPRODUCT($J156:$U156,TRANSPOSE(CX$3:CX$14))</f>
        <v>0</v>
      </c>
      <c r="CY156" s="3">
        <f t="array" ref="CY156">SUMPRODUCT($J156:$U156,TRANSPOSE(CY$3:CY$14))</f>
        <v>0</v>
      </c>
      <c r="CZ156" s="3">
        <f t="array" ref="CZ156">SUMPRODUCT($J156:$U156,TRANSPOSE(CZ$3:CZ$14))</f>
        <v>0</v>
      </c>
      <c r="DA156" s="3">
        <f t="array" ref="DA156">SUMPRODUCT($J156:$U156,TRANSPOSE(DA$3:DA$14))</f>
        <v>0</v>
      </c>
      <c r="DB156" s="3">
        <f t="array" ref="DB156">SUMPRODUCT($J156:$U156,TRANSPOSE(DB$3:DB$14))</f>
        <v>0</v>
      </c>
      <c r="DC156" s="3">
        <f t="array" ref="DC156">SUMPRODUCT($J156:$U156,TRANSPOSE(DC$3:DC$14))</f>
        <v>0</v>
      </c>
      <c r="DD156" s="3">
        <f t="array" ref="DD156">SUMPRODUCT($J156:$U156,TRANSPOSE(DD$3:DD$14))</f>
        <v>0</v>
      </c>
      <c r="DE156" s="3">
        <f t="array" ref="DE156">SUMPRODUCT($J156:$U156,TRANSPOSE(DE$3:DE$14))</f>
        <v>0</v>
      </c>
    </row>
    <row r="157" spans="1:109" ht="13.5" thickBot="1" x14ac:dyDescent="0.25">
      <c r="A157" s="3">
        <v>675</v>
      </c>
      <c r="B157" s="9" t="s">
        <v>285</v>
      </c>
      <c r="C157" s="3" t="s">
        <v>16</v>
      </c>
      <c r="D157" s="3">
        <v>512346461</v>
      </c>
      <c r="F157" s="3" t="s">
        <v>286</v>
      </c>
      <c r="G157" s="3" t="s">
        <v>14</v>
      </c>
      <c r="H157" s="3">
        <v>2</v>
      </c>
      <c r="I157" s="3">
        <v>2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f t="shared" si="43"/>
        <v>1</v>
      </c>
      <c r="W157" s="3">
        <f t="shared" si="44"/>
        <v>130</v>
      </c>
      <c r="X157" s="6" t="s">
        <v>280</v>
      </c>
      <c r="Y157" s="3">
        <v>0.32700000000000001</v>
      </c>
      <c r="Z157" s="3" t="s">
        <v>594</v>
      </c>
      <c r="AA157" s="3" t="s">
        <v>128</v>
      </c>
      <c r="AB157" s="3" t="s">
        <v>129</v>
      </c>
      <c r="AC157" s="23" t="s">
        <v>130</v>
      </c>
      <c r="BJ157" s="3">
        <f>SUM($AE157,$AF157:AH157)-SUM($CH157:CK157)</f>
        <v>0</v>
      </c>
      <c r="BK157" s="3">
        <f>SUM($AE157,$AF157:AI157)-SUM($CH157:CL157)</f>
        <v>0</v>
      </c>
      <c r="BL157" s="3">
        <f>SUM($AE157,$AF157:AJ157)-SUM($CH157:CM157)</f>
        <v>-10</v>
      </c>
      <c r="BM157" s="3">
        <f>SUM($AE157,$AF157:AK157)-SUM($CH157:CN157)</f>
        <v>-25</v>
      </c>
      <c r="BN157" s="3">
        <f>SUM($AE157,$AF157:AL157)-SUM($CH157:CO157)</f>
        <v>-40</v>
      </c>
      <c r="BO157" s="3">
        <f>SUM($AE157,$AF157:AM157)-SUM($CH157:CP157)</f>
        <v>-60</v>
      </c>
      <c r="BP157" s="3">
        <f>SUM($AE157,$AF157:AN157)-SUM($CH157:CQ157)</f>
        <v>-80</v>
      </c>
      <c r="BQ157" s="3">
        <f>SUM($AE157,$AF157:AO157)-SUM($CH157:CR157)</f>
        <v>-100</v>
      </c>
      <c r="BR157" s="3">
        <f>SUM($AE157,$AF157:AP157)-SUM($CH157:CS157)</f>
        <v>-120</v>
      </c>
      <c r="BS157" s="3">
        <f>SUM($AE157,$AF157:AQ157)-SUM($CH157:CT157)</f>
        <v>-130</v>
      </c>
      <c r="BT157" s="3">
        <f>SUM($AE157,$AF157:AR157)-SUM($CH157:CU157)</f>
        <v>-130</v>
      </c>
      <c r="BU157" s="3">
        <f>SUM($AE157,$AF157:AS157)-SUM($CH157:CV157)</f>
        <v>-130</v>
      </c>
      <c r="BV157" s="3">
        <f>SUM($AE157,$AF157:AT157)-SUM($CH157:CW157)</f>
        <v>-130</v>
      </c>
      <c r="BW157" s="3">
        <f>SUM($AE157,$AF157:AU157)-SUM($CH157:CX157)</f>
        <v>-130</v>
      </c>
      <c r="BX157" s="3">
        <f>SUM($AE157,$AF157:AV157)-SUM($CH157:CY157)</f>
        <v>-130</v>
      </c>
      <c r="BY157" s="3">
        <f>SUM($AE157,$AF157:AW157)-SUM($CH157:CZ157)</f>
        <v>-130</v>
      </c>
      <c r="BZ157" s="3">
        <f>SUM($AE157,$AF157:AX157)-SUM($CH157:DA157)</f>
        <v>-130</v>
      </c>
      <c r="CA157" s="3">
        <f>SUM($AE157,$AF157:AY157)-SUM($CH157:DB157)</f>
        <v>-130</v>
      </c>
      <c r="CB157" s="3">
        <f>SUM($AE157,$AF157:AZ157)-SUM($CH157:DC157)</f>
        <v>-130</v>
      </c>
      <c r="CC157" s="3">
        <f>SUM($AE157,$AF157:BA157)-SUM($CH157:DD157)</f>
        <v>-130</v>
      </c>
      <c r="CI157" s="3">
        <f t="array" ref="CI157">SUMPRODUCT($J157:$U157,TRANSPOSE(CI$3:CI$14))</f>
        <v>0</v>
      </c>
      <c r="CJ157" s="3">
        <f t="array" ref="CJ157">SUMPRODUCT($J157:$U157,TRANSPOSE(CJ$3:CJ$14))</f>
        <v>0</v>
      </c>
      <c r="CK157" s="3">
        <f t="array" ref="CK157">SUMPRODUCT($J157:$U157,TRANSPOSE(CK$3:CK$14))</f>
        <v>0</v>
      </c>
      <c r="CL157" s="3">
        <f t="array" ref="CL157">SUMPRODUCT($J157:$U157,TRANSPOSE(CL$3:CL$14))</f>
        <v>0</v>
      </c>
      <c r="CM157" s="3">
        <f t="array" ref="CM157">SUMPRODUCT($J157:$U157,TRANSPOSE(CM$3:CM$14))</f>
        <v>10</v>
      </c>
      <c r="CN157" s="3">
        <f t="array" ref="CN157">SUMPRODUCT($J157:$U157,TRANSPOSE(CN$3:CN$14))</f>
        <v>15</v>
      </c>
      <c r="CO157" s="3">
        <f t="array" ref="CO157">SUMPRODUCT($J157:$U157,TRANSPOSE(CO$3:CO$14))</f>
        <v>15</v>
      </c>
      <c r="CP157" s="3">
        <f t="array" ref="CP157">SUMPRODUCT($J157:$U157,TRANSPOSE(CP$3:CP$14))</f>
        <v>20</v>
      </c>
      <c r="CQ157" s="3">
        <f t="array" ref="CQ157">SUMPRODUCT($J157:$U157,TRANSPOSE(CQ$3:CQ$14))</f>
        <v>20</v>
      </c>
      <c r="CR157" s="3">
        <f t="array" ref="CR157">SUMPRODUCT($J157:$U157,TRANSPOSE(CR$3:CR$14))</f>
        <v>20</v>
      </c>
      <c r="CS157" s="3">
        <f t="array" ref="CS157">SUMPRODUCT($J157:$U157,TRANSPOSE(CS$3:CS$14))</f>
        <v>20</v>
      </c>
      <c r="CT157" s="3">
        <f t="array" ref="CT157">SUMPRODUCT($J157:$U157,TRANSPOSE(CT$3:CT$14))</f>
        <v>10</v>
      </c>
      <c r="CU157" s="3">
        <f t="array" ref="CU157">SUMPRODUCT($J157:$U157,TRANSPOSE(CU$3:CU$14))</f>
        <v>0</v>
      </c>
      <c r="CV157" s="3">
        <f t="array" ref="CV157">SUMPRODUCT($J157:$U157,TRANSPOSE(CV$3:CV$14))</f>
        <v>0</v>
      </c>
      <c r="CW157" s="3">
        <f t="array" ref="CW157">SUMPRODUCT($J157:$U157,TRANSPOSE(CW$3:CW$14))</f>
        <v>0</v>
      </c>
      <c r="CX157" s="3">
        <f t="array" ref="CX157">SUMPRODUCT($J157:$U157,TRANSPOSE(CX$3:CX$14))</f>
        <v>0</v>
      </c>
      <c r="CY157" s="3">
        <f t="array" ref="CY157">SUMPRODUCT($J157:$U157,TRANSPOSE(CY$3:CY$14))</f>
        <v>0</v>
      </c>
      <c r="CZ157" s="3">
        <f t="array" ref="CZ157">SUMPRODUCT($J157:$U157,TRANSPOSE(CZ$3:CZ$14))</f>
        <v>0</v>
      </c>
      <c r="DA157" s="3">
        <f t="array" ref="DA157">SUMPRODUCT($J157:$U157,TRANSPOSE(DA$3:DA$14))</f>
        <v>0</v>
      </c>
      <c r="DB157" s="3">
        <f t="array" ref="DB157">SUMPRODUCT($J157:$U157,TRANSPOSE(DB$3:DB$14))</f>
        <v>0</v>
      </c>
      <c r="DC157" s="3">
        <f t="array" ref="DC157">SUMPRODUCT($J157:$U157,TRANSPOSE(DC$3:DC$14))</f>
        <v>0</v>
      </c>
      <c r="DD157" s="3">
        <f t="array" ref="DD157">SUMPRODUCT($J157:$U157,TRANSPOSE(DD$3:DD$14))</f>
        <v>0</v>
      </c>
      <c r="DE157" s="3">
        <f t="array" ref="DE157">SUMPRODUCT($J157:$U157,TRANSPOSE(DE$3:DE$14))</f>
        <v>0</v>
      </c>
    </row>
    <row r="158" spans="1:109" ht="13.5" thickBot="1" x14ac:dyDescent="0.25">
      <c r="A158" s="3">
        <v>676</v>
      </c>
      <c r="B158" s="9" t="s">
        <v>660</v>
      </c>
      <c r="C158" s="3" t="s">
        <v>16</v>
      </c>
      <c r="D158" s="3" t="s">
        <v>661</v>
      </c>
      <c r="E158" s="3" t="s">
        <v>662</v>
      </c>
      <c r="F158" s="3" t="s">
        <v>663</v>
      </c>
      <c r="G158" s="3" t="s">
        <v>14</v>
      </c>
      <c r="H158" s="3">
        <v>2</v>
      </c>
      <c r="I158" s="3">
        <v>70</v>
      </c>
      <c r="J158" s="3">
        <v>30</v>
      </c>
      <c r="K158" s="3">
        <v>20</v>
      </c>
      <c r="L158" s="3">
        <v>0</v>
      </c>
      <c r="M158" s="3">
        <v>0</v>
      </c>
      <c r="N158" s="3">
        <v>20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f t="shared" si="43"/>
        <v>70</v>
      </c>
      <c r="W158" s="3">
        <f t="shared" si="44"/>
        <v>9100</v>
      </c>
      <c r="X158" s="6" t="s">
        <v>593</v>
      </c>
      <c r="Y158" s="3">
        <v>0.02</v>
      </c>
      <c r="Z158" s="3" t="s">
        <v>594</v>
      </c>
      <c r="AA158" s="3" t="s">
        <v>128</v>
      </c>
      <c r="AB158" s="3" t="s">
        <v>129</v>
      </c>
      <c r="AC158" s="23" t="s">
        <v>130</v>
      </c>
      <c r="BJ158" s="3">
        <f>SUM($AE158,$AF158:AH158)-SUM($CH158:CK158)</f>
        <v>0</v>
      </c>
      <c r="BK158" s="3">
        <f>SUM($AE158,$AF158:AI158)-SUM($CH158:CL158)</f>
        <v>-400</v>
      </c>
      <c r="BL158" s="3">
        <f>SUM($AE158,$AF158:AJ158)-SUM($CH158:CM158)</f>
        <v>-1300</v>
      </c>
      <c r="BM158" s="3">
        <f>SUM($AE158,$AF158:AK158)-SUM($CH158:CN158)</f>
        <v>-2350</v>
      </c>
      <c r="BN158" s="3">
        <f>SUM($AE158,$AF158:AL158)-SUM($CH158:CO158)</f>
        <v>-3600</v>
      </c>
      <c r="BO158" s="3">
        <f>SUM($AE158,$AF158:AM158)-SUM($CH158:CP158)</f>
        <v>-5000</v>
      </c>
      <c r="BP158" s="3">
        <f>SUM($AE158,$AF158:AN158)-SUM($CH158:CQ158)</f>
        <v>-6400</v>
      </c>
      <c r="BQ158" s="3">
        <f>SUM($AE158,$AF158:AO158)-SUM($CH158:CR158)</f>
        <v>-7800</v>
      </c>
      <c r="BR158" s="3">
        <f>SUM($AE158,$AF158:AP158)-SUM($CH158:CS158)</f>
        <v>-8800</v>
      </c>
      <c r="BS158" s="3">
        <f>SUM($AE158,$AF158:AQ158)-SUM($CH158:CT158)</f>
        <v>-9100</v>
      </c>
      <c r="BT158" s="3">
        <f>SUM($AE158,$AF158:AR158)-SUM($CH158:CU158)</f>
        <v>-9100</v>
      </c>
      <c r="BU158" s="3">
        <f>SUM($AE158,$AF158:AS158)-SUM($CH158:CV158)</f>
        <v>-9100</v>
      </c>
      <c r="BV158" s="3">
        <f>SUM($AE158,$AF158:AT158)-SUM($CH158:CW158)</f>
        <v>-9100</v>
      </c>
      <c r="BW158" s="3">
        <f>SUM($AE158,$AF158:AU158)-SUM($CH158:CX158)</f>
        <v>-9100</v>
      </c>
      <c r="BX158" s="3">
        <f>SUM($AE158,$AF158:AV158)-SUM($CH158:CY158)</f>
        <v>-9100</v>
      </c>
      <c r="BY158" s="3">
        <f>SUM($AE158,$AF158:AW158)-SUM($CH158:CZ158)</f>
        <v>-9100</v>
      </c>
      <c r="BZ158" s="3">
        <f>SUM($AE158,$AF158:AX158)-SUM($CH158:DA158)</f>
        <v>-9100</v>
      </c>
      <c r="CA158" s="3">
        <f>SUM($AE158,$AF158:AY158)-SUM($CH158:DB158)</f>
        <v>-9100</v>
      </c>
      <c r="CB158" s="3">
        <f>SUM($AE158,$AF158:AZ158)-SUM($CH158:DC158)</f>
        <v>-9100</v>
      </c>
      <c r="CC158" s="3">
        <f>SUM($AE158,$AF158:BA158)-SUM($CH158:DD158)</f>
        <v>-9100</v>
      </c>
      <c r="CI158" s="3">
        <f t="array" ref="CI158">SUMPRODUCT($J158:$U158,TRANSPOSE(CI$3:CI$14))</f>
        <v>0</v>
      </c>
      <c r="CJ158" s="3">
        <f t="array" ref="CJ158">SUMPRODUCT($J158:$U158,TRANSPOSE(CJ$3:CJ$14))</f>
        <v>0</v>
      </c>
      <c r="CK158" s="3">
        <f t="array" ref="CK158">SUMPRODUCT($J158:$U158,TRANSPOSE(CK$3:CK$14))</f>
        <v>0</v>
      </c>
      <c r="CL158" s="3">
        <f t="array" ref="CL158">SUMPRODUCT($J158:$U158,TRANSPOSE(CL$3:CL$14))</f>
        <v>400</v>
      </c>
      <c r="CM158" s="3">
        <f t="array" ref="CM158">SUMPRODUCT($J158:$U158,TRANSPOSE(CM$3:CM$14))</f>
        <v>900</v>
      </c>
      <c r="CN158" s="3">
        <f t="array" ref="CN158">SUMPRODUCT($J158:$U158,TRANSPOSE(CN$3:CN$14))</f>
        <v>1050</v>
      </c>
      <c r="CO158" s="3">
        <f t="array" ref="CO158">SUMPRODUCT($J158:$U158,TRANSPOSE(CO$3:CO$14))</f>
        <v>1250</v>
      </c>
      <c r="CP158" s="3">
        <f t="array" ref="CP158">SUMPRODUCT($J158:$U158,TRANSPOSE(CP$3:CP$14))</f>
        <v>1400</v>
      </c>
      <c r="CQ158" s="3">
        <f t="array" ref="CQ158">SUMPRODUCT($J158:$U158,TRANSPOSE(CQ$3:CQ$14))</f>
        <v>1400</v>
      </c>
      <c r="CR158" s="3">
        <f t="array" ref="CR158">SUMPRODUCT($J158:$U158,TRANSPOSE(CR$3:CR$14))</f>
        <v>1400</v>
      </c>
      <c r="CS158" s="3">
        <f t="array" ref="CS158">SUMPRODUCT($J158:$U158,TRANSPOSE(CS$3:CS$14))</f>
        <v>1000</v>
      </c>
      <c r="CT158" s="3">
        <f t="array" ref="CT158">SUMPRODUCT($J158:$U158,TRANSPOSE(CT$3:CT$14))</f>
        <v>300</v>
      </c>
      <c r="CU158" s="3">
        <f t="array" ref="CU158">SUMPRODUCT($J158:$U158,TRANSPOSE(CU$3:CU$14))</f>
        <v>0</v>
      </c>
      <c r="CV158" s="3">
        <f t="array" ref="CV158">SUMPRODUCT($J158:$U158,TRANSPOSE(CV$3:CV$14))</f>
        <v>0</v>
      </c>
      <c r="CW158" s="3">
        <f t="array" ref="CW158">SUMPRODUCT($J158:$U158,TRANSPOSE(CW$3:CW$14))</f>
        <v>0</v>
      </c>
      <c r="CX158" s="3">
        <f t="array" ref="CX158">SUMPRODUCT($J158:$U158,TRANSPOSE(CX$3:CX$14))</f>
        <v>0</v>
      </c>
      <c r="CY158" s="3">
        <f t="array" ref="CY158">SUMPRODUCT($J158:$U158,TRANSPOSE(CY$3:CY$14))</f>
        <v>0</v>
      </c>
      <c r="CZ158" s="3">
        <f t="array" ref="CZ158">SUMPRODUCT($J158:$U158,TRANSPOSE(CZ$3:CZ$14))</f>
        <v>0</v>
      </c>
      <c r="DA158" s="3">
        <f t="array" ref="DA158">SUMPRODUCT($J158:$U158,TRANSPOSE(DA$3:DA$14))</f>
        <v>0</v>
      </c>
      <c r="DB158" s="3">
        <f t="array" ref="DB158">SUMPRODUCT($J158:$U158,TRANSPOSE(DB$3:DB$14))</f>
        <v>0</v>
      </c>
      <c r="DC158" s="3">
        <f t="array" ref="DC158">SUMPRODUCT($J158:$U158,TRANSPOSE(DC$3:DC$14))</f>
        <v>0</v>
      </c>
      <c r="DD158" s="3">
        <f t="array" ref="DD158">SUMPRODUCT($J158:$U158,TRANSPOSE(DD$3:DD$14))</f>
        <v>0</v>
      </c>
      <c r="DE158" s="3">
        <f t="array" ref="DE158">SUMPRODUCT($J158:$U158,TRANSPOSE(DE$3:DE$14))</f>
        <v>0</v>
      </c>
    </row>
    <row r="159" spans="1:109" ht="13.5" thickBot="1" x14ac:dyDescent="0.25">
      <c r="A159" s="3">
        <v>677</v>
      </c>
      <c r="B159" s="9" t="s">
        <v>664</v>
      </c>
      <c r="C159" s="3" t="s">
        <v>16</v>
      </c>
      <c r="D159" s="3" t="s">
        <v>665</v>
      </c>
      <c r="E159" s="3" t="s">
        <v>666</v>
      </c>
      <c r="F159" s="3" t="s">
        <v>667</v>
      </c>
      <c r="G159" s="3" t="s">
        <v>14</v>
      </c>
      <c r="H159" s="3">
        <v>2</v>
      </c>
      <c r="I159" s="3">
        <v>50</v>
      </c>
      <c r="J159" s="3">
        <v>50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f t="shared" si="43"/>
        <v>50</v>
      </c>
      <c r="W159" s="3">
        <f t="shared" si="44"/>
        <v>6500</v>
      </c>
      <c r="X159" s="6" t="s">
        <v>593</v>
      </c>
      <c r="Y159" s="3">
        <v>4.4999999999999998E-2</v>
      </c>
      <c r="Z159" s="3" t="s">
        <v>594</v>
      </c>
      <c r="AA159" s="3" t="s">
        <v>128</v>
      </c>
      <c r="AB159" s="3" t="s">
        <v>129</v>
      </c>
      <c r="AC159" s="23" t="s">
        <v>130</v>
      </c>
      <c r="BJ159" s="3">
        <f>SUM($AE159,$AF159:AH159)-SUM($CH159:CK159)</f>
        <v>0</v>
      </c>
      <c r="BK159" s="3">
        <f>SUM($AE159,$AF159:AI159)-SUM($CH159:CL159)</f>
        <v>0</v>
      </c>
      <c r="BL159" s="3">
        <f>SUM($AE159,$AF159:AJ159)-SUM($CH159:CM159)</f>
        <v>-500</v>
      </c>
      <c r="BM159" s="3">
        <f>SUM($AE159,$AF159:AK159)-SUM($CH159:CN159)</f>
        <v>-1250</v>
      </c>
      <c r="BN159" s="3">
        <f>SUM($AE159,$AF159:AL159)-SUM($CH159:CO159)</f>
        <v>-2000</v>
      </c>
      <c r="BO159" s="3">
        <f>SUM($AE159,$AF159:AM159)-SUM($CH159:CP159)</f>
        <v>-3000</v>
      </c>
      <c r="BP159" s="3">
        <f>SUM($AE159,$AF159:AN159)-SUM($CH159:CQ159)</f>
        <v>-4000</v>
      </c>
      <c r="BQ159" s="3">
        <f>SUM($AE159,$AF159:AO159)-SUM($CH159:CR159)</f>
        <v>-5000</v>
      </c>
      <c r="BR159" s="3">
        <f>SUM($AE159,$AF159:AP159)-SUM($CH159:CS159)</f>
        <v>-6000</v>
      </c>
      <c r="BS159" s="3">
        <f>SUM($AE159,$AF159:AQ159)-SUM($CH159:CT159)</f>
        <v>-6500</v>
      </c>
      <c r="BT159" s="3">
        <f>SUM($AE159,$AF159:AR159)-SUM($CH159:CU159)</f>
        <v>-6500</v>
      </c>
      <c r="BU159" s="3">
        <f>SUM($AE159,$AF159:AS159)-SUM($CH159:CV159)</f>
        <v>-6500</v>
      </c>
      <c r="BV159" s="3">
        <f>SUM($AE159,$AF159:AT159)-SUM($CH159:CW159)</f>
        <v>-6500</v>
      </c>
      <c r="BW159" s="3">
        <f>SUM($AE159,$AF159:AU159)-SUM($CH159:CX159)</f>
        <v>-6500</v>
      </c>
      <c r="BX159" s="3">
        <f>SUM($AE159,$AF159:AV159)-SUM($CH159:CY159)</f>
        <v>-6500</v>
      </c>
      <c r="BY159" s="3">
        <f>SUM($AE159,$AF159:AW159)-SUM($CH159:CZ159)</f>
        <v>-6500</v>
      </c>
      <c r="BZ159" s="3">
        <f>SUM($AE159,$AF159:AX159)-SUM($CH159:DA159)</f>
        <v>-6500</v>
      </c>
      <c r="CA159" s="3">
        <f>SUM($AE159,$AF159:AY159)-SUM($CH159:DB159)</f>
        <v>-6500</v>
      </c>
      <c r="CB159" s="3">
        <f>SUM($AE159,$AF159:AZ159)-SUM($CH159:DC159)</f>
        <v>-6500</v>
      </c>
      <c r="CC159" s="3">
        <f>SUM($AE159,$AF159:BA159)-SUM($CH159:DD159)</f>
        <v>-6500</v>
      </c>
      <c r="CI159" s="3">
        <f t="array" ref="CI159">SUMPRODUCT($J159:$U159,TRANSPOSE(CI$3:CI$14))</f>
        <v>0</v>
      </c>
      <c r="CJ159" s="3">
        <f t="array" ref="CJ159">SUMPRODUCT($J159:$U159,TRANSPOSE(CJ$3:CJ$14))</f>
        <v>0</v>
      </c>
      <c r="CK159" s="3">
        <f t="array" ref="CK159">SUMPRODUCT($J159:$U159,TRANSPOSE(CK$3:CK$14))</f>
        <v>0</v>
      </c>
      <c r="CL159" s="3">
        <f t="array" ref="CL159">SUMPRODUCT($J159:$U159,TRANSPOSE(CL$3:CL$14))</f>
        <v>0</v>
      </c>
      <c r="CM159" s="3">
        <f t="array" ref="CM159">SUMPRODUCT($J159:$U159,TRANSPOSE(CM$3:CM$14))</f>
        <v>500</v>
      </c>
      <c r="CN159" s="3">
        <f t="array" ref="CN159">SUMPRODUCT($J159:$U159,TRANSPOSE(CN$3:CN$14))</f>
        <v>750</v>
      </c>
      <c r="CO159" s="3">
        <f t="array" ref="CO159">SUMPRODUCT($J159:$U159,TRANSPOSE(CO$3:CO$14))</f>
        <v>750</v>
      </c>
      <c r="CP159" s="3">
        <f t="array" ref="CP159">SUMPRODUCT($J159:$U159,TRANSPOSE(CP$3:CP$14))</f>
        <v>1000</v>
      </c>
      <c r="CQ159" s="3">
        <f t="array" ref="CQ159">SUMPRODUCT($J159:$U159,TRANSPOSE(CQ$3:CQ$14))</f>
        <v>1000</v>
      </c>
      <c r="CR159" s="3">
        <f t="array" ref="CR159">SUMPRODUCT($J159:$U159,TRANSPOSE(CR$3:CR$14))</f>
        <v>1000</v>
      </c>
      <c r="CS159" s="3">
        <f t="array" ref="CS159">SUMPRODUCT($J159:$U159,TRANSPOSE(CS$3:CS$14))</f>
        <v>1000</v>
      </c>
      <c r="CT159" s="3">
        <f t="array" ref="CT159">SUMPRODUCT($J159:$U159,TRANSPOSE(CT$3:CT$14))</f>
        <v>500</v>
      </c>
      <c r="CU159" s="3">
        <f t="array" ref="CU159">SUMPRODUCT($J159:$U159,TRANSPOSE(CU$3:CU$14))</f>
        <v>0</v>
      </c>
      <c r="CV159" s="3">
        <f t="array" ref="CV159">SUMPRODUCT($J159:$U159,TRANSPOSE(CV$3:CV$14))</f>
        <v>0</v>
      </c>
      <c r="CW159" s="3">
        <f t="array" ref="CW159">SUMPRODUCT($J159:$U159,TRANSPOSE(CW$3:CW$14))</f>
        <v>0</v>
      </c>
      <c r="CX159" s="3">
        <f t="array" ref="CX159">SUMPRODUCT($J159:$U159,TRANSPOSE(CX$3:CX$14))</f>
        <v>0</v>
      </c>
      <c r="CY159" s="3">
        <f t="array" ref="CY159">SUMPRODUCT($J159:$U159,TRANSPOSE(CY$3:CY$14))</f>
        <v>0</v>
      </c>
      <c r="CZ159" s="3">
        <f t="array" ref="CZ159">SUMPRODUCT($J159:$U159,TRANSPOSE(CZ$3:CZ$14))</f>
        <v>0</v>
      </c>
      <c r="DA159" s="3">
        <f t="array" ref="DA159">SUMPRODUCT($J159:$U159,TRANSPOSE(DA$3:DA$14))</f>
        <v>0</v>
      </c>
      <c r="DB159" s="3">
        <f t="array" ref="DB159">SUMPRODUCT($J159:$U159,TRANSPOSE(DB$3:DB$14))</f>
        <v>0</v>
      </c>
      <c r="DC159" s="3">
        <f t="array" ref="DC159">SUMPRODUCT($J159:$U159,TRANSPOSE(DC$3:DC$14))</f>
        <v>0</v>
      </c>
      <c r="DD159" s="3">
        <f t="array" ref="DD159">SUMPRODUCT($J159:$U159,TRANSPOSE(DD$3:DD$14))</f>
        <v>0</v>
      </c>
      <c r="DE159" s="3">
        <f t="array" ref="DE159">SUMPRODUCT($J159:$U159,TRANSPOSE(DE$3:DE$14))</f>
        <v>0</v>
      </c>
    </row>
    <row r="160" spans="1:109" ht="13.5" thickBot="1" x14ac:dyDescent="0.25">
      <c r="A160" s="3">
        <v>678</v>
      </c>
      <c r="B160" s="9" t="s">
        <v>287</v>
      </c>
      <c r="C160" s="3" t="s">
        <v>16</v>
      </c>
      <c r="D160" s="3">
        <v>514301548</v>
      </c>
      <c r="F160" s="3" t="s">
        <v>288</v>
      </c>
      <c r="G160" s="3" t="s">
        <v>14</v>
      </c>
      <c r="H160" s="3">
        <v>2</v>
      </c>
      <c r="I160" s="3">
        <v>769</v>
      </c>
      <c r="J160" s="3">
        <v>2</v>
      </c>
      <c r="K160" s="3">
        <v>251</v>
      </c>
      <c r="L160" s="3">
        <v>0</v>
      </c>
      <c r="M160" s="3">
        <v>0</v>
      </c>
      <c r="N160" s="3">
        <v>230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f t="shared" si="43"/>
        <v>483</v>
      </c>
      <c r="W160" s="3">
        <f t="shared" si="44"/>
        <v>62790</v>
      </c>
      <c r="X160" s="6" t="s">
        <v>280</v>
      </c>
      <c r="Y160" s="3">
        <v>1.2500000000000001E-2</v>
      </c>
      <c r="Z160" s="3" t="s">
        <v>594</v>
      </c>
      <c r="AA160" s="3" t="s">
        <v>128</v>
      </c>
      <c r="AB160" s="3" t="s">
        <v>129</v>
      </c>
      <c r="AC160" s="23" t="s">
        <v>130</v>
      </c>
      <c r="BJ160" s="3">
        <f>SUM($AE160,$AF160:AH160)-SUM($CH160:CK160)</f>
        <v>0</v>
      </c>
      <c r="BK160" s="3">
        <f>SUM($AE160,$AF160:AI160)-SUM($CH160:CL160)</f>
        <v>-4810</v>
      </c>
      <c r="BL160" s="3">
        <f>SUM($AE160,$AF160:AJ160)-SUM($CH160:CM160)</f>
        <v>-12045</v>
      </c>
      <c r="BM160" s="3">
        <f>SUM($AE160,$AF160:AK160)-SUM($CH160:CN160)</f>
        <v>-19290</v>
      </c>
      <c r="BN160" s="3">
        <f>SUM($AE160,$AF160:AL160)-SUM($CH160:CO160)</f>
        <v>-28940</v>
      </c>
      <c r="BO160" s="3">
        <f>SUM($AE160,$AF160:AM160)-SUM($CH160:CP160)</f>
        <v>-38600</v>
      </c>
      <c r="BP160" s="3">
        <f>SUM($AE160,$AF160:AN160)-SUM($CH160:CQ160)</f>
        <v>-48260</v>
      </c>
      <c r="BQ160" s="3">
        <f>SUM($AE160,$AF160:AO160)-SUM($CH160:CR160)</f>
        <v>-57920</v>
      </c>
      <c r="BR160" s="3">
        <f>SUM($AE160,$AF160:AP160)-SUM($CH160:CS160)</f>
        <v>-62770</v>
      </c>
      <c r="BS160" s="3">
        <f>SUM($AE160,$AF160:AQ160)-SUM($CH160:CT160)</f>
        <v>-62790</v>
      </c>
      <c r="BT160" s="3">
        <f>SUM($AE160,$AF160:AR160)-SUM($CH160:CU160)</f>
        <v>-62790</v>
      </c>
      <c r="BU160" s="3">
        <f>SUM($AE160,$AF160:AS160)-SUM($CH160:CV160)</f>
        <v>-62790</v>
      </c>
      <c r="BV160" s="3">
        <f>SUM($AE160,$AF160:AT160)-SUM($CH160:CW160)</f>
        <v>-62790</v>
      </c>
      <c r="BW160" s="3">
        <f>SUM($AE160,$AF160:AU160)-SUM($CH160:CX160)</f>
        <v>-62790</v>
      </c>
      <c r="BX160" s="3">
        <f>SUM($AE160,$AF160:AV160)-SUM($CH160:CY160)</f>
        <v>-62790</v>
      </c>
      <c r="BY160" s="3">
        <f>SUM($AE160,$AF160:AW160)-SUM($CH160:CZ160)</f>
        <v>-62790</v>
      </c>
      <c r="BZ160" s="3">
        <f>SUM($AE160,$AF160:AX160)-SUM($CH160:DA160)</f>
        <v>-62790</v>
      </c>
      <c r="CA160" s="3">
        <f>SUM($AE160,$AF160:AY160)-SUM($CH160:DB160)</f>
        <v>-62790</v>
      </c>
      <c r="CB160" s="3">
        <f>SUM($AE160,$AF160:AZ160)-SUM($CH160:DC160)</f>
        <v>-62790</v>
      </c>
      <c r="CC160" s="3">
        <f>SUM($AE160,$AF160:BA160)-SUM($CH160:DD160)</f>
        <v>-62790</v>
      </c>
      <c r="CI160" s="3">
        <f t="array" ref="CI160">SUMPRODUCT($J160:$U160,TRANSPOSE(CI$3:CI$14))</f>
        <v>0</v>
      </c>
      <c r="CJ160" s="3">
        <f t="array" ref="CJ160">SUMPRODUCT($J160:$U160,TRANSPOSE(CJ$3:CJ$14))</f>
        <v>0</v>
      </c>
      <c r="CK160" s="3">
        <f t="array" ref="CK160">SUMPRODUCT($J160:$U160,TRANSPOSE(CK$3:CK$14))</f>
        <v>0</v>
      </c>
      <c r="CL160" s="3">
        <f t="array" ref="CL160">SUMPRODUCT($J160:$U160,TRANSPOSE(CL$3:CL$14))</f>
        <v>4810</v>
      </c>
      <c r="CM160" s="3">
        <f t="array" ref="CM160">SUMPRODUCT($J160:$U160,TRANSPOSE(CM$3:CM$14))</f>
        <v>7235</v>
      </c>
      <c r="CN160" s="3">
        <f t="array" ref="CN160">SUMPRODUCT($J160:$U160,TRANSPOSE(CN$3:CN$14))</f>
        <v>7245</v>
      </c>
      <c r="CO160" s="3">
        <f t="array" ref="CO160">SUMPRODUCT($J160:$U160,TRANSPOSE(CO$3:CO$14))</f>
        <v>9650</v>
      </c>
      <c r="CP160" s="3">
        <f t="array" ref="CP160">SUMPRODUCT($J160:$U160,TRANSPOSE(CP$3:CP$14))</f>
        <v>9660</v>
      </c>
      <c r="CQ160" s="3">
        <f t="array" ref="CQ160">SUMPRODUCT($J160:$U160,TRANSPOSE(CQ$3:CQ$14))</f>
        <v>9660</v>
      </c>
      <c r="CR160" s="3">
        <f t="array" ref="CR160">SUMPRODUCT($J160:$U160,TRANSPOSE(CR$3:CR$14))</f>
        <v>9660</v>
      </c>
      <c r="CS160" s="3">
        <f t="array" ref="CS160">SUMPRODUCT($J160:$U160,TRANSPOSE(CS$3:CS$14))</f>
        <v>4850</v>
      </c>
      <c r="CT160" s="3">
        <f t="array" ref="CT160">SUMPRODUCT($J160:$U160,TRANSPOSE(CT$3:CT$14))</f>
        <v>20</v>
      </c>
      <c r="CU160" s="3">
        <f t="array" ref="CU160">SUMPRODUCT($J160:$U160,TRANSPOSE(CU$3:CU$14))</f>
        <v>0</v>
      </c>
      <c r="CV160" s="3">
        <f t="array" ref="CV160">SUMPRODUCT($J160:$U160,TRANSPOSE(CV$3:CV$14))</f>
        <v>0</v>
      </c>
      <c r="CW160" s="3">
        <f t="array" ref="CW160">SUMPRODUCT($J160:$U160,TRANSPOSE(CW$3:CW$14))</f>
        <v>0</v>
      </c>
      <c r="CX160" s="3">
        <f t="array" ref="CX160">SUMPRODUCT($J160:$U160,TRANSPOSE(CX$3:CX$14))</f>
        <v>0</v>
      </c>
      <c r="CY160" s="3">
        <f t="array" ref="CY160">SUMPRODUCT($J160:$U160,TRANSPOSE(CY$3:CY$14))</f>
        <v>0</v>
      </c>
      <c r="CZ160" s="3">
        <f t="array" ref="CZ160">SUMPRODUCT($J160:$U160,TRANSPOSE(CZ$3:CZ$14))</f>
        <v>0</v>
      </c>
      <c r="DA160" s="3">
        <f t="array" ref="DA160">SUMPRODUCT($J160:$U160,TRANSPOSE(DA$3:DA$14))</f>
        <v>0</v>
      </c>
      <c r="DB160" s="3">
        <f t="array" ref="DB160">SUMPRODUCT($J160:$U160,TRANSPOSE(DB$3:DB$14))</f>
        <v>0</v>
      </c>
      <c r="DC160" s="3">
        <f t="array" ref="DC160">SUMPRODUCT($J160:$U160,TRANSPOSE(DC$3:DC$14))</f>
        <v>0</v>
      </c>
      <c r="DD160" s="3">
        <f t="array" ref="DD160">SUMPRODUCT($J160:$U160,TRANSPOSE(DD$3:DD$14))</f>
        <v>0</v>
      </c>
      <c r="DE160" s="3">
        <f t="array" ref="DE160">SUMPRODUCT($J160:$U160,TRANSPOSE(DE$3:DE$14))</f>
        <v>0</v>
      </c>
    </row>
    <row r="161" spans="1:109" ht="13.5" thickBot="1" x14ac:dyDescent="0.25">
      <c r="A161" s="3">
        <v>679</v>
      </c>
      <c r="B161" s="9" t="s">
        <v>289</v>
      </c>
      <c r="C161" s="3" t="s">
        <v>16</v>
      </c>
      <c r="D161" s="3">
        <v>514301316</v>
      </c>
      <c r="F161" s="3" t="s">
        <v>288</v>
      </c>
      <c r="G161" s="3" t="s">
        <v>14</v>
      </c>
      <c r="H161" s="3">
        <v>2</v>
      </c>
      <c r="I161" s="3">
        <v>266</v>
      </c>
      <c r="J161" s="3">
        <v>57</v>
      </c>
      <c r="K161" s="3">
        <v>75</v>
      </c>
      <c r="L161" s="3">
        <v>0</v>
      </c>
      <c r="M161" s="3">
        <v>0</v>
      </c>
      <c r="N161" s="3">
        <v>64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f t="shared" si="43"/>
        <v>196</v>
      </c>
      <c r="W161" s="3">
        <f t="shared" si="44"/>
        <v>25480</v>
      </c>
      <c r="X161" s="6" t="s">
        <v>280</v>
      </c>
      <c r="Y161" s="3">
        <v>1.35E-2</v>
      </c>
      <c r="Z161" s="3" t="s">
        <v>594</v>
      </c>
      <c r="AA161" s="3" t="s">
        <v>128</v>
      </c>
      <c r="AB161" s="3" t="s">
        <v>129</v>
      </c>
      <c r="AC161" s="23" t="s">
        <v>130</v>
      </c>
      <c r="BJ161" s="3">
        <f>SUM($AE161,$AF161:AH161)-SUM($CH161:CK161)</f>
        <v>0</v>
      </c>
      <c r="BK161" s="3">
        <f>SUM($AE161,$AF161:AI161)-SUM($CH161:CL161)</f>
        <v>-1390</v>
      </c>
      <c r="BL161" s="3">
        <f>SUM($AE161,$AF161:AJ161)-SUM($CH161:CM161)</f>
        <v>-4045</v>
      </c>
      <c r="BM161" s="3">
        <f>SUM($AE161,$AF161:AK161)-SUM($CH161:CN161)</f>
        <v>-6985</v>
      </c>
      <c r="BN161" s="3">
        <f>SUM($AE161,$AF161:AL161)-SUM($CH161:CO161)</f>
        <v>-10620</v>
      </c>
      <c r="BO161" s="3">
        <f>SUM($AE161,$AF161:AM161)-SUM($CH161:CP161)</f>
        <v>-14540</v>
      </c>
      <c r="BP161" s="3">
        <f>SUM($AE161,$AF161:AN161)-SUM($CH161:CQ161)</f>
        <v>-18460</v>
      </c>
      <c r="BQ161" s="3">
        <f>SUM($AE161,$AF161:AO161)-SUM($CH161:CR161)</f>
        <v>-22380</v>
      </c>
      <c r="BR161" s="3">
        <f>SUM($AE161,$AF161:AP161)-SUM($CH161:CS161)</f>
        <v>-24910</v>
      </c>
      <c r="BS161" s="3">
        <f>SUM($AE161,$AF161:AQ161)-SUM($CH161:CT161)</f>
        <v>-25480</v>
      </c>
      <c r="BT161" s="3">
        <f>SUM($AE161,$AF161:AR161)-SUM($CH161:CU161)</f>
        <v>-25480</v>
      </c>
      <c r="BU161" s="3">
        <f>SUM($AE161,$AF161:AS161)-SUM($CH161:CV161)</f>
        <v>-25480</v>
      </c>
      <c r="BV161" s="3">
        <f>SUM($AE161,$AF161:AT161)-SUM($CH161:CW161)</f>
        <v>-25480</v>
      </c>
      <c r="BW161" s="3">
        <f>SUM($AE161,$AF161:AU161)-SUM($CH161:CX161)</f>
        <v>-25480</v>
      </c>
      <c r="BX161" s="3">
        <f>SUM($AE161,$AF161:AV161)-SUM($CH161:CY161)</f>
        <v>-25480</v>
      </c>
      <c r="BY161" s="3">
        <f>SUM($AE161,$AF161:AW161)-SUM($CH161:CZ161)</f>
        <v>-25480</v>
      </c>
      <c r="BZ161" s="3">
        <f>SUM($AE161,$AF161:AX161)-SUM($CH161:DA161)</f>
        <v>-25480</v>
      </c>
      <c r="CA161" s="3">
        <f>SUM($AE161,$AF161:AY161)-SUM($CH161:DB161)</f>
        <v>-25480</v>
      </c>
      <c r="CB161" s="3">
        <f>SUM($AE161,$AF161:AZ161)-SUM($CH161:DC161)</f>
        <v>-25480</v>
      </c>
      <c r="CC161" s="3">
        <f>SUM($AE161,$AF161:BA161)-SUM($CH161:DD161)</f>
        <v>-25480</v>
      </c>
      <c r="CI161" s="3">
        <f t="array" ref="CI161">SUMPRODUCT($J161:$U161,TRANSPOSE(CI$3:CI$14))</f>
        <v>0</v>
      </c>
      <c r="CJ161" s="3">
        <f t="array" ref="CJ161">SUMPRODUCT($J161:$U161,TRANSPOSE(CJ$3:CJ$14))</f>
        <v>0</v>
      </c>
      <c r="CK161" s="3">
        <f t="array" ref="CK161">SUMPRODUCT($J161:$U161,TRANSPOSE(CK$3:CK$14))</f>
        <v>0</v>
      </c>
      <c r="CL161" s="3">
        <f t="array" ref="CL161">SUMPRODUCT($J161:$U161,TRANSPOSE(CL$3:CL$14))</f>
        <v>1390</v>
      </c>
      <c r="CM161" s="3">
        <f t="array" ref="CM161">SUMPRODUCT($J161:$U161,TRANSPOSE(CM$3:CM$14))</f>
        <v>2655</v>
      </c>
      <c r="CN161" s="3">
        <f t="array" ref="CN161">SUMPRODUCT($J161:$U161,TRANSPOSE(CN$3:CN$14))</f>
        <v>2940</v>
      </c>
      <c r="CO161" s="3">
        <f t="array" ref="CO161">SUMPRODUCT($J161:$U161,TRANSPOSE(CO$3:CO$14))</f>
        <v>3635</v>
      </c>
      <c r="CP161" s="3">
        <f t="array" ref="CP161">SUMPRODUCT($J161:$U161,TRANSPOSE(CP$3:CP$14))</f>
        <v>3920</v>
      </c>
      <c r="CQ161" s="3">
        <f t="array" ref="CQ161">SUMPRODUCT($J161:$U161,TRANSPOSE(CQ$3:CQ$14))</f>
        <v>3920</v>
      </c>
      <c r="CR161" s="3">
        <f t="array" ref="CR161">SUMPRODUCT($J161:$U161,TRANSPOSE(CR$3:CR$14))</f>
        <v>3920</v>
      </c>
      <c r="CS161" s="3">
        <f t="array" ref="CS161">SUMPRODUCT($J161:$U161,TRANSPOSE(CS$3:CS$14))</f>
        <v>2530</v>
      </c>
      <c r="CT161" s="3">
        <f t="array" ref="CT161">SUMPRODUCT($J161:$U161,TRANSPOSE(CT$3:CT$14))</f>
        <v>570</v>
      </c>
      <c r="CU161" s="3">
        <f t="array" ref="CU161">SUMPRODUCT($J161:$U161,TRANSPOSE(CU$3:CU$14))</f>
        <v>0</v>
      </c>
      <c r="CV161" s="3">
        <f t="array" ref="CV161">SUMPRODUCT($J161:$U161,TRANSPOSE(CV$3:CV$14))</f>
        <v>0</v>
      </c>
      <c r="CW161" s="3">
        <f t="array" ref="CW161">SUMPRODUCT($J161:$U161,TRANSPOSE(CW$3:CW$14))</f>
        <v>0</v>
      </c>
      <c r="CX161" s="3">
        <f t="array" ref="CX161">SUMPRODUCT($J161:$U161,TRANSPOSE(CX$3:CX$14))</f>
        <v>0</v>
      </c>
      <c r="CY161" s="3">
        <f t="array" ref="CY161">SUMPRODUCT($J161:$U161,TRANSPOSE(CY$3:CY$14))</f>
        <v>0</v>
      </c>
      <c r="CZ161" s="3">
        <f t="array" ref="CZ161">SUMPRODUCT($J161:$U161,TRANSPOSE(CZ$3:CZ$14))</f>
        <v>0</v>
      </c>
      <c r="DA161" s="3">
        <f t="array" ref="DA161">SUMPRODUCT($J161:$U161,TRANSPOSE(DA$3:DA$14))</f>
        <v>0</v>
      </c>
      <c r="DB161" s="3">
        <f t="array" ref="DB161">SUMPRODUCT($J161:$U161,TRANSPOSE(DB$3:DB$14))</f>
        <v>0</v>
      </c>
      <c r="DC161" s="3">
        <f t="array" ref="DC161">SUMPRODUCT($J161:$U161,TRANSPOSE(DC$3:DC$14))</f>
        <v>0</v>
      </c>
      <c r="DD161" s="3">
        <f t="array" ref="DD161">SUMPRODUCT($J161:$U161,TRANSPOSE(DD$3:DD$14))</f>
        <v>0</v>
      </c>
      <c r="DE161" s="3">
        <f t="array" ref="DE161">SUMPRODUCT($J161:$U161,TRANSPOSE(DE$3:DE$14))</f>
        <v>0</v>
      </c>
    </row>
    <row r="162" spans="1:109" ht="13.5" thickBot="1" x14ac:dyDescent="0.25">
      <c r="A162" s="3">
        <v>680</v>
      </c>
      <c r="B162" s="9" t="s">
        <v>290</v>
      </c>
      <c r="C162" s="3" t="s">
        <v>16</v>
      </c>
      <c r="D162" s="3">
        <v>514301324</v>
      </c>
      <c r="F162" s="3" t="s">
        <v>291</v>
      </c>
      <c r="G162" s="3" t="s">
        <v>14</v>
      </c>
      <c r="H162" s="3">
        <v>2</v>
      </c>
      <c r="I162" s="3">
        <v>133</v>
      </c>
      <c r="J162" s="3">
        <v>7</v>
      </c>
      <c r="K162" s="3">
        <v>0</v>
      </c>
      <c r="L162" s="3">
        <v>0</v>
      </c>
      <c r="M162" s="3">
        <v>0</v>
      </c>
      <c r="N162" s="3">
        <v>4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24</v>
      </c>
      <c r="U162" s="3">
        <v>0</v>
      </c>
      <c r="V162" s="3">
        <f t="shared" si="43"/>
        <v>35</v>
      </c>
      <c r="W162" s="3">
        <f t="shared" si="44"/>
        <v>4910</v>
      </c>
      <c r="X162" s="6" t="s">
        <v>280</v>
      </c>
      <c r="Y162" s="3">
        <v>1.35E-2</v>
      </c>
      <c r="Z162" s="3" t="s">
        <v>594</v>
      </c>
      <c r="AA162" s="3" t="s">
        <v>128</v>
      </c>
      <c r="AB162" s="3" t="s">
        <v>129</v>
      </c>
      <c r="AC162" s="23" t="s">
        <v>130</v>
      </c>
      <c r="BJ162" s="3">
        <f>SUM($AE162,$AF162:AH162)-SUM($CH162:CK162)</f>
        <v>0</v>
      </c>
      <c r="BK162" s="3">
        <f>SUM($AE162,$AF162:AI162)-SUM($CH162:CL162)</f>
        <v>-280</v>
      </c>
      <c r="BL162" s="3">
        <f>SUM($AE162,$AF162:AJ162)-SUM($CH162:CM162)</f>
        <v>-770</v>
      </c>
      <c r="BM162" s="3">
        <f>SUM($AE162,$AF162:AK162)-SUM($CH162:CN162)</f>
        <v>-1415</v>
      </c>
      <c r="BN162" s="3">
        <f>SUM($AE162,$AF162:AL162)-SUM($CH162:CO162)</f>
        <v>-2080</v>
      </c>
      <c r="BO162" s="3">
        <f>SUM($AE162,$AF162:AM162)-SUM($CH162:CP162)</f>
        <v>-2780</v>
      </c>
      <c r="BP162" s="3">
        <f>SUM($AE162,$AF162:AN162)-SUM($CH162:CQ162)</f>
        <v>-3480</v>
      </c>
      <c r="BQ162" s="3">
        <f>SUM($AE162,$AF162:AO162)-SUM($CH162:CR162)</f>
        <v>-4180</v>
      </c>
      <c r="BR162" s="3">
        <f>SUM($AE162,$AF162:AP162)-SUM($CH162:CS162)</f>
        <v>-4840</v>
      </c>
      <c r="BS162" s="3">
        <f>SUM($AE162,$AF162:AQ162)-SUM($CH162:CT162)</f>
        <v>-4910</v>
      </c>
      <c r="BT162" s="3">
        <f>SUM($AE162,$AF162:AR162)-SUM($CH162:CU162)</f>
        <v>-4910</v>
      </c>
      <c r="BU162" s="3">
        <f>SUM($AE162,$AF162:AS162)-SUM($CH162:CV162)</f>
        <v>-4910</v>
      </c>
      <c r="BV162" s="3">
        <f>SUM($AE162,$AF162:AT162)-SUM($CH162:CW162)</f>
        <v>-4910</v>
      </c>
      <c r="BW162" s="3">
        <f>SUM($AE162,$AF162:AU162)-SUM($CH162:CX162)</f>
        <v>-4910</v>
      </c>
      <c r="BX162" s="3">
        <f>SUM($AE162,$AF162:AV162)-SUM($CH162:CY162)</f>
        <v>-4910</v>
      </c>
      <c r="BY162" s="3">
        <f>SUM($AE162,$AF162:AW162)-SUM($CH162:CZ162)</f>
        <v>-4910</v>
      </c>
      <c r="BZ162" s="3">
        <f>SUM($AE162,$AF162:AX162)-SUM($CH162:DA162)</f>
        <v>-4910</v>
      </c>
      <c r="CA162" s="3">
        <f>SUM($AE162,$AF162:AY162)-SUM($CH162:DB162)</f>
        <v>-4910</v>
      </c>
      <c r="CB162" s="3">
        <f>SUM($AE162,$AF162:AZ162)-SUM($CH162:DC162)</f>
        <v>-4910</v>
      </c>
      <c r="CC162" s="3">
        <f>SUM($AE162,$AF162:BA162)-SUM($CH162:DD162)</f>
        <v>-4910</v>
      </c>
      <c r="CI162" s="3">
        <f t="array" ref="CI162">SUMPRODUCT($J162:$U162,TRANSPOSE(CI$3:CI$14))</f>
        <v>0</v>
      </c>
      <c r="CJ162" s="3">
        <f t="array" ref="CJ162">SUMPRODUCT($J162:$U162,TRANSPOSE(CJ$3:CJ$14))</f>
        <v>0</v>
      </c>
      <c r="CK162" s="3">
        <f t="array" ref="CK162">SUMPRODUCT($J162:$U162,TRANSPOSE(CK$3:CK$14))</f>
        <v>0</v>
      </c>
      <c r="CL162" s="3">
        <f t="array" ref="CL162">SUMPRODUCT($J162:$U162,TRANSPOSE(CL$3:CL$14))</f>
        <v>280</v>
      </c>
      <c r="CM162" s="3">
        <f t="array" ref="CM162">SUMPRODUCT($J162:$U162,TRANSPOSE(CM$3:CM$14))</f>
        <v>490</v>
      </c>
      <c r="CN162" s="3">
        <f t="array" ref="CN162">SUMPRODUCT($J162:$U162,TRANSPOSE(CN$3:CN$14))</f>
        <v>645</v>
      </c>
      <c r="CO162" s="3">
        <f t="array" ref="CO162">SUMPRODUCT($J162:$U162,TRANSPOSE(CO$3:CO$14))</f>
        <v>665</v>
      </c>
      <c r="CP162" s="3">
        <f t="array" ref="CP162">SUMPRODUCT($J162:$U162,TRANSPOSE(CP$3:CP$14))</f>
        <v>700</v>
      </c>
      <c r="CQ162" s="3">
        <f t="array" ref="CQ162">SUMPRODUCT($J162:$U162,TRANSPOSE(CQ$3:CQ$14))</f>
        <v>700</v>
      </c>
      <c r="CR162" s="3">
        <f t="array" ref="CR162">SUMPRODUCT($J162:$U162,TRANSPOSE(CR$3:CR$14))</f>
        <v>700</v>
      </c>
      <c r="CS162" s="3">
        <f t="array" ref="CS162">SUMPRODUCT($J162:$U162,TRANSPOSE(CS$3:CS$14))</f>
        <v>660</v>
      </c>
      <c r="CT162" s="3">
        <f t="array" ref="CT162">SUMPRODUCT($J162:$U162,TRANSPOSE(CT$3:CT$14))</f>
        <v>70</v>
      </c>
      <c r="CU162" s="3">
        <f t="array" ref="CU162">SUMPRODUCT($J162:$U162,TRANSPOSE(CU$3:CU$14))</f>
        <v>0</v>
      </c>
      <c r="CV162" s="3">
        <f t="array" ref="CV162">SUMPRODUCT($J162:$U162,TRANSPOSE(CV$3:CV$14))</f>
        <v>0</v>
      </c>
      <c r="CW162" s="3">
        <f t="array" ref="CW162">SUMPRODUCT($J162:$U162,TRANSPOSE(CW$3:CW$14))</f>
        <v>0</v>
      </c>
      <c r="CX162" s="3">
        <f t="array" ref="CX162">SUMPRODUCT($J162:$U162,TRANSPOSE(CX$3:CX$14))</f>
        <v>0</v>
      </c>
      <c r="CY162" s="3">
        <f t="array" ref="CY162">SUMPRODUCT($J162:$U162,TRANSPOSE(CY$3:CY$14))</f>
        <v>0</v>
      </c>
      <c r="CZ162" s="3">
        <f t="array" ref="CZ162">SUMPRODUCT($J162:$U162,TRANSPOSE(CZ$3:CZ$14))</f>
        <v>0</v>
      </c>
      <c r="DA162" s="3">
        <f t="array" ref="DA162">SUMPRODUCT($J162:$U162,TRANSPOSE(DA$3:DA$14))</f>
        <v>0</v>
      </c>
      <c r="DB162" s="3">
        <f t="array" ref="DB162">SUMPRODUCT($J162:$U162,TRANSPOSE(DB$3:DB$14))</f>
        <v>0</v>
      </c>
      <c r="DC162" s="3">
        <f t="array" ref="DC162">SUMPRODUCT($J162:$U162,TRANSPOSE(DC$3:DC$14))</f>
        <v>0</v>
      </c>
      <c r="DD162" s="3">
        <f t="array" ref="DD162">SUMPRODUCT($J162:$U162,TRANSPOSE(DD$3:DD$14))</f>
        <v>0</v>
      </c>
      <c r="DE162" s="3">
        <f t="array" ref="DE162">SUMPRODUCT($J162:$U162,TRANSPOSE(DE$3:DE$14))</f>
        <v>0</v>
      </c>
    </row>
    <row r="163" spans="1:109" ht="13.5" thickBot="1" x14ac:dyDescent="0.25">
      <c r="A163" s="3">
        <v>681</v>
      </c>
      <c r="B163" s="9" t="s">
        <v>292</v>
      </c>
      <c r="C163" s="3" t="s">
        <v>16</v>
      </c>
      <c r="D163" s="3">
        <v>514301407</v>
      </c>
      <c r="E163" s="3">
        <v>400329170</v>
      </c>
      <c r="F163" s="3" t="s">
        <v>288</v>
      </c>
      <c r="G163" s="3" t="s">
        <v>14</v>
      </c>
      <c r="H163" s="3">
        <v>2</v>
      </c>
      <c r="I163" s="3">
        <v>205</v>
      </c>
      <c r="J163" s="3">
        <v>153</v>
      </c>
      <c r="K163" s="3">
        <v>4</v>
      </c>
      <c r="L163" s="3">
        <v>0</v>
      </c>
      <c r="M163" s="3">
        <v>0</v>
      </c>
      <c r="N163" s="3">
        <v>5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24</v>
      </c>
      <c r="U163" s="3">
        <v>0</v>
      </c>
      <c r="V163" s="3">
        <f t="shared" si="43"/>
        <v>186</v>
      </c>
      <c r="W163" s="3">
        <f t="shared" si="44"/>
        <v>24540</v>
      </c>
      <c r="X163" s="6" t="s">
        <v>280</v>
      </c>
      <c r="Y163" s="3">
        <v>1.8499999999999999E-2</v>
      </c>
      <c r="Z163" s="3" t="s">
        <v>594</v>
      </c>
      <c r="AA163" s="3" t="s">
        <v>128</v>
      </c>
      <c r="AB163" s="3" t="s">
        <v>129</v>
      </c>
      <c r="AC163" s="23" t="s">
        <v>130</v>
      </c>
      <c r="BJ163" s="3">
        <f>SUM($AE163,$AF163:AH163)-SUM($CH163:CK163)</f>
        <v>0</v>
      </c>
      <c r="BK163" s="3">
        <f>SUM($AE163,$AF163:AI163)-SUM($CH163:CL163)</f>
        <v>-330</v>
      </c>
      <c r="BL163" s="3">
        <f>SUM($AE163,$AF163:AJ163)-SUM($CH163:CM163)</f>
        <v>-2355</v>
      </c>
      <c r="BM163" s="3">
        <f>SUM($AE163,$AF163:AK163)-SUM($CH163:CN163)</f>
        <v>-5265</v>
      </c>
      <c r="BN163" s="3">
        <f>SUM($AE163,$AF163:AL163)-SUM($CH163:CO163)</f>
        <v>-8220</v>
      </c>
      <c r="BO163" s="3">
        <f>SUM($AE163,$AF163:AM163)-SUM($CH163:CP163)</f>
        <v>-11940</v>
      </c>
      <c r="BP163" s="3">
        <f>SUM($AE163,$AF163:AN163)-SUM($CH163:CQ163)</f>
        <v>-15660</v>
      </c>
      <c r="BQ163" s="3">
        <f>SUM($AE163,$AF163:AO163)-SUM($CH163:CR163)</f>
        <v>-19380</v>
      </c>
      <c r="BR163" s="3">
        <f>SUM($AE163,$AF163:AP163)-SUM($CH163:CS163)</f>
        <v>-23010</v>
      </c>
      <c r="BS163" s="3">
        <f>SUM($AE163,$AF163:AQ163)-SUM($CH163:CT163)</f>
        <v>-24540</v>
      </c>
      <c r="BT163" s="3">
        <f>SUM($AE163,$AF163:AR163)-SUM($CH163:CU163)</f>
        <v>-24540</v>
      </c>
      <c r="BU163" s="3">
        <f>SUM($AE163,$AF163:AS163)-SUM($CH163:CV163)</f>
        <v>-24540</v>
      </c>
      <c r="BV163" s="3">
        <f>SUM($AE163,$AF163:AT163)-SUM($CH163:CW163)</f>
        <v>-24540</v>
      </c>
      <c r="BW163" s="3">
        <f>SUM($AE163,$AF163:AU163)-SUM($CH163:CX163)</f>
        <v>-24540</v>
      </c>
      <c r="BX163" s="3">
        <f>SUM($AE163,$AF163:AV163)-SUM($CH163:CY163)</f>
        <v>-24540</v>
      </c>
      <c r="BY163" s="3">
        <f>SUM($AE163,$AF163:AW163)-SUM($CH163:CZ163)</f>
        <v>-24540</v>
      </c>
      <c r="BZ163" s="3">
        <f>SUM($AE163,$AF163:AX163)-SUM($CH163:DA163)</f>
        <v>-24540</v>
      </c>
      <c r="CA163" s="3">
        <f>SUM($AE163,$AF163:AY163)-SUM($CH163:DB163)</f>
        <v>-24540</v>
      </c>
      <c r="CB163" s="3">
        <f>SUM($AE163,$AF163:AZ163)-SUM($CH163:DC163)</f>
        <v>-24540</v>
      </c>
      <c r="CC163" s="3">
        <f>SUM($AE163,$AF163:BA163)-SUM($CH163:DD163)</f>
        <v>-24540</v>
      </c>
      <c r="CI163" s="3">
        <f t="array" ref="CI163">SUMPRODUCT($J163:$U163,TRANSPOSE(CI$3:CI$14))</f>
        <v>0</v>
      </c>
      <c r="CJ163" s="3">
        <f t="array" ref="CJ163">SUMPRODUCT($J163:$U163,TRANSPOSE(CJ$3:CJ$14))</f>
        <v>0</v>
      </c>
      <c r="CK163" s="3">
        <f t="array" ref="CK163">SUMPRODUCT($J163:$U163,TRANSPOSE(CK$3:CK$14))</f>
        <v>0</v>
      </c>
      <c r="CL163" s="3">
        <f t="array" ref="CL163">SUMPRODUCT($J163:$U163,TRANSPOSE(CL$3:CL$14))</f>
        <v>330</v>
      </c>
      <c r="CM163" s="3">
        <f t="array" ref="CM163">SUMPRODUCT($J163:$U163,TRANSPOSE(CM$3:CM$14))</f>
        <v>2025</v>
      </c>
      <c r="CN163" s="3">
        <f t="array" ref="CN163">SUMPRODUCT($J163:$U163,TRANSPOSE(CN$3:CN$14))</f>
        <v>2910</v>
      </c>
      <c r="CO163" s="3">
        <f t="array" ref="CO163">SUMPRODUCT($J163:$U163,TRANSPOSE(CO$3:CO$14))</f>
        <v>2955</v>
      </c>
      <c r="CP163" s="3">
        <f t="array" ref="CP163">SUMPRODUCT($J163:$U163,TRANSPOSE(CP$3:CP$14))</f>
        <v>3720</v>
      </c>
      <c r="CQ163" s="3">
        <f t="array" ref="CQ163">SUMPRODUCT($J163:$U163,TRANSPOSE(CQ$3:CQ$14))</f>
        <v>3720</v>
      </c>
      <c r="CR163" s="3">
        <f t="array" ref="CR163">SUMPRODUCT($J163:$U163,TRANSPOSE(CR$3:CR$14))</f>
        <v>3720</v>
      </c>
      <c r="CS163" s="3">
        <f t="array" ref="CS163">SUMPRODUCT($J163:$U163,TRANSPOSE(CS$3:CS$14))</f>
        <v>3630</v>
      </c>
      <c r="CT163" s="3">
        <f t="array" ref="CT163">SUMPRODUCT($J163:$U163,TRANSPOSE(CT$3:CT$14))</f>
        <v>1530</v>
      </c>
      <c r="CU163" s="3">
        <f t="array" ref="CU163">SUMPRODUCT($J163:$U163,TRANSPOSE(CU$3:CU$14))</f>
        <v>0</v>
      </c>
      <c r="CV163" s="3">
        <f t="array" ref="CV163">SUMPRODUCT($J163:$U163,TRANSPOSE(CV$3:CV$14))</f>
        <v>0</v>
      </c>
      <c r="CW163" s="3">
        <f t="array" ref="CW163">SUMPRODUCT($J163:$U163,TRANSPOSE(CW$3:CW$14))</f>
        <v>0</v>
      </c>
      <c r="CX163" s="3">
        <f t="array" ref="CX163">SUMPRODUCT($J163:$U163,TRANSPOSE(CX$3:CX$14))</f>
        <v>0</v>
      </c>
      <c r="CY163" s="3">
        <f t="array" ref="CY163">SUMPRODUCT($J163:$U163,TRANSPOSE(CY$3:CY$14))</f>
        <v>0</v>
      </c>
      <c r="CZ163" s="3">
        <f t="array" ref="CZ163">SUMPRODUCT($J163:$U163,TRANSPOSE(CZ$3:CZ$14))</f>
        <v>0</v>
      </c>
      <c r="DA163" s="3">
        <f t="array" ref="DA163">SUMPRODUCT($J163:$U163,TRANSPOSE(DA$3:DA$14))</f>
        <v>0</v>
      </c>
      <c r="DB163" s="3">
        <f t="array" ref="DB163">SUMPRODUCT($J163:$U163,TRANSPOSE(DB$3:DB$14))</f>
        <v>0</v>
      </c>
      <c r="DC163" s="3">
        <f t="array" ref="DC163">SUMPRODUCT($J163:$U163,TRANSPOSE(DC$3:DC$14))</f>
        <v>0</v>
      </c>
      <c r="DD163" s="3">
        <f t="array" ref="DD163">SUMPRODUCT($J163:$U163,TRANSPOSE(DD$3:DD$14))</f>
        <v>0</v>
      </c>
      <c r="DE163" s="3">
        <f t="array" ref="DE163">SUMPRODUCT($J163:$U163,TRANSPOSE(DE$3:DE$14))</f>
        <v>0</v>
      </c>
    </row>
    <row r="164" spans="1:109" ht="13.5" thickBot="1" x14ac:dyDescent="0.25">
      <c r="A164" s="3">
        <v>682</v>
      </c>
      <c r="B164" s="9" t="s">
        <v>668</v>
      </c>
      <c r="C164" s="3" t="s">
        <v>16</v>
      </c>
      <c r="D164" s="3">
        <v>514303155</v>
      </c>
      <c r="F164" s="3" t="s">
        <v>291</v>
      </c>
      <c r="G164" s="3" t="s">
        <v>14</v>
      </c>
      <c r="H164" s="3">
        <v>2</v>
      </c>
      <c r="I164" s="3">
        <v>8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8</v>
      </c>
      <c r="U164" s="3">
        <v>0</v>
      </c>
      <c r="V164" s="3">
        <f t="shared" si="43"/>
        <v>8</v>
      </c>
      <c r="W164" s="3">
        <f t="shared" si="44"/>
        <v>1160</v>
      </c>
      <c r="X164" s="6" t="s">
        <v>280</v>
      </c>
      <c r="Y164" s="3">
        <v>0.04</v>
      </c>
      <c r="Z164" s="3" t="s">
        <v>594</v>
      </c>
      <c r="AA164" s="3" t="s">
        <v>128</v>
      </c>
      <c r="AB164" s="3" t="s">
        <v>129</v>
      </c>
      <c r="AC164" s="23" t="s">
        <v>130</v>
      </c>
      <c r="BJ164" s="3">
        <f>SUM($AE164,$AF164:AH164)-SUM($CH164:CK164)</f>
        <v>0</v>
      </c>
      <c r="BK164" s="3">
        <f>SUM($AE164,$AF164:AI164)-SUM($CH164:CL164)</f>
        <v>-80</v>
      </c>
      <c r="BL164" s="3">
        <f>SUM($AE164,$AF164:AJ164)-SUM($CH164:CM164)</f>
        <v>-200</v>
      </c>
      <c r="BM164" s="3">
        <f>SUM($AE164,$AF164:AK164)-SUM($CH164:CN164)</f>
        <v>-360</v>
      </c>
      <c r="BN164" s="3">
        <f>SUM($AE164,$AF164:AL164)-SUM($CH164:CO164)</f>
        <v>-520</v>
      </c>
      <c r="BO164" s="3">
        <f>SUM($AE164,$AF164:AM164)-SUM($CH164:CP164)</f>
        <v>-680</v>
      </c>
      <c r="BP164" s="3">
        <f>SUM($AE164,$AF164:AN164)-SUM($CH164:CQ164)</f>
        <v>-840</v>
      </c>
      <c r="BQ164" s="3">
        <f>SUM($AE164,$AF164:AO164)-SUM($CH164:CR164)</f>
        <v>-1000</v>
      </c>
      <c r="BR164" s="3">
        <f>SUM($AE164,$AF164:AP164)-SUM($CH164:CS164)</f>
        <v>-1160</v>
      </c>
      <c r="BS164" s="3">
        <f>SUM($AE164,$AF164:AQ164)-SUM($CH164:CT164)</f>
        <v>-1160</v>
      </c>
      <c r="BT164" s="3">
        <f>SUM($AE164,$AF164:AR164)-SUM($CH164:CU164)</f>
        <v>-1160</v>
      </c>
      <c r="BU164" s="3">
        <f>SUM($AE164,$AF164:AS164)-SUM($CH164:CV164)</f>
        <v>-1160</v>
      </c>
      <c r="BV164" s="3">
        <f>SUM($AE164,$AF164:AT164)-SUM($CH164:CW164)</f>
        <v>-1160</v>
      </c>
      <c r="BW164" s="3">
        <f>SUM($AE164,$AF164:AU164)-SUM($CH164:CX164)</f>
        <v>-1160</v>
      </c>
      <c r="BX164" s="3">
        <f>SUM($AE164,$AF164:AV164)-SUM($CH164:CY164)</f>
        <v>-1160</v>
      </c>
      <c r="BY164" s="3">
        <f>SUM($AE164,$AF164:AW164)-SUM($CH164:CZ164)</f>
        <v>-1160</v>
      </c>
      <c r="BZ164" s="3">
        <f>SUM($AE164,$AF164:AX164)-SUM($CH164:DA164)</f>
        <v>-1160</v>
      </c>
      <c r="CA164" s="3">
        <f>SUM($AE164,$AF164:AY164)-SUM($CH164:DB164)</f>
        <v>-1160</v>
      </c>
      <c r="CB164" s="3">
        <f>SUM($AE164,$AF164:AZ164)-SUM($CH164:DC164)</f>
        <v>-1160</v>
      </c>
      <c r="CC164" s="3">
        <f>SUM($AE164,$AF164:BA164)-SUM($CH164:DD164)</f>
        <v>-1160</v>
      </c>
      <c r="CI164" s="3">
        <f t="array" ref="CI164">SUMPRODUCT($J164:$U164,TRANSPOSE(CI$3:CI$14))</f>
        <v>0</v>
      </c>
      <c r="CJ164" s="3">
        <f t="array" ref="CJ164">SUMPRODUCT($J164:$U164,TRANSPOSE(CJ$3:CJ$14))</f>
        <v>0</v>
      </c>
      <c r="CK164" s="3">
        <f t="array" ref="CK164">SUMPRODUCT($J164:$U164,TRANSPOSE(CK$3:CK$14))</f>
        <v>0</v>
      </c>
      <c r="CL164" s="3">
        <f t="array" ref="CL164">SUMPRODUCT($J164:$U164,TRANSPOSE(CL$3:CL$14))</f>
        <v>80</v>
      </c>
      <c r="CM164" s="3">
        <f t="array" ref="CM164">SUMPRODUCT($J164:$U164,TRANSPOSE(CM$3:CM$14))</f>
        <v>120</v>
      </c>
      <c r="CN164" s="3">
        <f t="array" ref="CN164">SUMPRODUCT($J164:$U164,TRANSPOSE(CN$3:CN$14))</f>
        <v>160</v>
      </c>
      <c r="CO164" s="3">
        <f t="array" ref="CO164">SUMPRODUCT($J164:$U164,TRANSPOSE(CO$3:CO$14))</f>
        <v>160</v>
      </c>
      <c r="CP164" s="3">
        <f t="array" ref="CP164">SUMPRODUCT($J164:$U164,TRANSPOSE(CP$3:CP$14))</f>
        <v>160</v>
      </c>
      <c r="CQ164" s="3">
        <f t="array" ref="CQ164">SUMPRODUCT($J164:$U164,TRANSPOSE(CQ$3:CQ$14))</f>
        <v>160</v>
      </c>
      <c r="CR164" s="3">
        <f t="array" ref="CR164">SUMPRODUCT($J164:$U164,TRANSPOSE(CR$3:CR$14))</f>
        <v>160</v>
      </c>
      <c r="CS164" s="3">
        <f t="array" ref="CS164">SUMPRODUCT($J164:$U164,TRANSPOSE(CS$3:CS$14))</f>
        <v>160</v>
      </c>
      <c r="CT164" s="3">
        <f t="array" ref="CT164">SUMPRODUCT($J164:$U164,TRANSPOSE(CT$3:CT$14))</f>
        <v>0</v>
      </c>
      <c r="CU164" s="3">
        <f t="array" ref="CU164">SUMPRODUCT($J164:$U164,TRANSPOSE(CU$3:CU$14))</f>
        <v>0</v>
      </c>
      <c r="CV164" s="3">
        <f t="array" ref="CV164">SUMPRODUCT($J164:$U164,TRANSPOSE(CV$3:CV$14))</f>
        <v>0</v>
      </c>
      <c r="CW164" s="3">
        <f t="array" ref="CW164">SUMPRODUCT($J164:$U164,TRANSPOSE(CW$3:CW$14))</f>
        <v>0</v>
      </c>
      <c r="CX164" s="3">
        <f t="array" ref="CX164">SUMPRODUCT($J164:$U164,TRANSPOSE(CX$3:CX$14))</f>
        <v>0</v>
      </c>
      <c r="CY164" s="3">
        <f t="array" ref="CY164">SUMPRODUCT($J164:$U164,TRANSPOSE(CY$3:CY$14))</f>
        <v>0</v>
      </c>
      <c r="CZ164" s="3">
        <f t="array" ref="CZ164">SUMPRODUCT($J164:$U164,TRANSPOSE(CZ$3:CZ$14))</f>
        <v>0</v>
      </c>
      <c r="DA164" s="3">
        <f t="array" ref="DA164">SUMPRODUCT($J164:$U164,TRANSPOSE(DA$3:DA$14))</f>
        <v>0</v>
      </c>
      <c r="DB164" s="3">
        <f t="array" ref="DB164">SUMPRODUCT($J164:$U164,TRANSPOSE(DB$3:DB$14))</f>
        <v>0</v>
      </c>
      <c r="DC164" s="3">
        <f t="array" ref="DC164">SUMPRODUCT($J164:$U164,TRANSPOSE(DC$3:DC$14))</f>
        <v>0</v>
      </c>
      <c r="DD164" s="3">
        <f t="array" ref="DD164">SUMPRODUCT($J164:$U164,TRANSPOSE(DD$3:DD$14))</f>
        <v>0</v>
      </c>
      <c r="DE164" s="3">
        <f t="array" ref="DE164">SUMPRODUCT($J164:$U164,TRANSPOSE(DE$3:DE$14))</f>
        <v>0</v>
      </c>
    </row>
    <row r="165" spans="1:109" ht="13.5" thickBot="1" x14ac:dyDescent="0.25">
      <c r="A165" s="3">
        <v>684</v>
      </c>
      <c r="B165" s="9" t="s">
        <v>669</v>
      </c>
      <c r="C165" s="3" t="s">
        <v>16</v>
      </c>
      <c r="D165" s="3">
        <v>512314535</v>
      </c>
      <c r="F165" s="3" t="s">
        <v>286</v>
      </c>
      <c r="G165" s="3" t="s">
        <v>14</v>
      </c>
      <c r="H165" s="3">
        <v>2</v>
      </c>
      <c r="I165" s="3">
        <v>3</v>
      </c>
      <c r="J165" s="3">
        <v>0</v>
      </c>
      <c r="K165" s="3">
        <v>3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f t="shared" si="43"/>
        <v>3</v>
      </c>
      <c r="W165" s="3">
        <f t="shared" si="44"/>
        <v>390</v>
      </c>
      <c r="X165" s="6" t="s">
        <v>296</v>
      </c>
      <c r="Y165" s="3">
        <v>0.1</v>
      </c>
      <c r="Z165" s="3" t="s">
        <v>594</v>
      </c>
      <c r="AA165" s="3" t="s">
        <v>128</v>
      </c>
      <c r="AB165" s="3" t="s">
        <v>129</v>
      </c>
      <c r="AC165" s="23" t="s">
        <v>130</v>
      </c>
      <c r="BJ165" s="3">
        <f>SUM($AE165,$AF165:AH165)-SUM($CH165:CK165)</f>
        <v>0</v>
      </c>
      <c r="BK165" s="3">
        <f>SUM($AE165,$AF165:AI165)-SUM($CH165:CL165)</f>
        <v>-30</v>
      </c>
      <c r="BL165" s="3">
        <f>SUM($AE165,$AF165:AJ165)-SUM($CH165:CM165)</f>
        <v>-75</v>
      </c>
      <c r="BM165" s="3">
        <f>SUM($AE165,$AF165:AK165)-SUM($CH165:CN165)</f>
        <v>-120</v>
      </c>
      <c r="BN165" s="3">
        <f>SUM($AE165,$AF165:AL165)-SUM($CH165:CO165)</f>
        <v>-180</v>
      </c>
      <c r="BO165" s="3">
        <f>SUM($AE165,$AF165:AM165)-SUM($CH165:CP165)</f>
        <v>-240</v>
      </c>
      <c r="BP165" s="3">
        <f>SUM($AE165,$AF165:AN165)-SUM($CH165:CQ165)</f>
        <v>-300</v>
      </c>
      <c r="BQ165" s="3">
        <f>SUM($AE165,$AF165:AO165)-SUM($CH165:CR165)</f>
        <v>-360</v>
      </c>
      <c r="BR165" s="3">
        <f>SUM($AE165,$AF165:AP165)-SUM($CH165:CS165)</f>
        <v>-390</v>
      </c>
      <c r="BS165" s="3">
        <f>SUM($AE165,$AF165:AQ165)-SUM($CH165:CT165)</f>
        <v>-390</v>
      </c>
      <c r="BT165" s="3">
        <f>SUM($AE165,$AF165:AR165)-SUM($CH165:CU165)</f>
        <v>-390</v>
      </c>
      <c r="BU165" s="3">
        <f>SUM($AE165,$AF165:AS165)-SUM($CH165:CV165)</f>
        <v>-390</v>
      </c>
      <c r="BV165" s="3">
        <f>SUM($AE165,$AF165:AT165)-SUM($CH165:CW165)</f>
        <v>-390</v>
      </c>
      <c r="BW165" s="3">
        <f>SUM($AE165,$AF165:AU165)-SUM($CH165:CX165)</f>
        <v>-390</v>
      </c>
      <c r="BX165" s="3">
        <f>SUM($AE165,$AF165:AV165)-SUM($CH165:CY165)</f>
        <v>-390</v>
      </c>
      <c r="BY165" s="3">
        <f>SUM($AE165,$AF165:AW165)-SUM($CH165:CZ165)</f>
        <v>-390</v>
      </c>
      <c r="BZ165" s="3">
        <f>SUM($AE165,$AF165:AX165)-SUM($CH165:DA165)</f>
        <v>-390</v>
      </c>
      <c r="CA165" s="3">
        <f>SUM($AE165,$AF165:AY165)-SUM($CH165:DB165)</f>
        <v>-390</v>
      </c>
      <c r="CB165" s="3">
        <f>SUM($AE165,$AF165:AZ165)-SUM($CH165:DC165)</f>
        <v>-390</v>
      </c>
      <c r="CC165" s="3">
        <f>SUM($AE165,$AF165:BA165)-SUM($CH165:DD165)</f>
        <v>-390</v>
      </c>
      <c r="CI165" s="3">
        <f t="array" ref="CI165">SUMPRODUCT($J165:$U165,TRANSPOSE(CI$3:CI$14))</f>
        <v>0</v>
      </c>
      <c r="CJ165" s="3">
        <f t="array" ref="CJ165">SUMPRODUCT($J165:$U165,TRANSPOSE(CJ$3:CJ$14))</f>
        <v>0</v>
      </c>
      <c r="CK165" s="3">
        <f t="array" ref="CK165">SUMPRODUCT($J165:$U165,TRANSPOSE(CK$3:CK$14))</f>
        <v>0</v>
      </c>
      <c r="CL165" s="3">
        <f t="array" ref="CL165">SUMPRODUCT($J165:$U165,TRANSPOSE(CL$3:CL$14))</f>
        <v>30</v>
      </c>
      <c r="CM165" s="3">
        <f t="array" ref="CM165">SUMPRODUCT($J165:$U165,TRANSPOSE(CM$3:CM$14))</f>
        <v>45</v>
      </c>
      <c r="CN165" s="3">
        <f t="array" ref="CN165">SUMPRODUCT($J165:$U165,TRANSPOSE(CN$3:CN$14))</f>
        <v>45</v>
      </c>
      <c r="CO165" s="3">
        <f t="array" ref="CO165">SUMPRODUCT($J165:$U165,TRANSPOSE(CO$3:CO$14))</f>
        <v>60</v>
      </c>
      <c r="CP165" s="3">
        <f t="array" ref="CP165">SUMPRODUCT($J165:$U165,TRANSPOSE(CP$3:CP$14))</f>
        <v>60</v>
      </c>
      <c r="CQ165" s="3">
        <f t="array" ref="CQ165">SUMPRODUCT($J165:$U165,TRANSPOSE(CQ$3:CQ$14))</f>
        <v>60</v>
      </c>
      <c r="CR165" s="3">
        <f t="array" ref="CR165">SUMPRODUCT($J165:$U165,TRANSPOSE(CR$3:CR$14))</f>
        <v>60</v>
      </c>
      <c r="CS165" s="3">
        <f t="array" ref="CS165">SUMPRODUCT($J165:$U165,TRANSPOSE(CS$3:CS$14))</f>
        <v>30</v>
      </c>
      <c r="CT165" s="3">
        <f t="array" ref="CT165">SUMPRODUCT($J165:$U165,TRANSPOSE(CT$3:CT$14))</f>
        <v>0</v>
      </c>
      <c r="CU165" s="3">
        <f t="array" ref="CU165">SUMPRODUCT($J165:$U165,TRANSPOSE(CU$3:CU$14))</f>
        <v>0</v>
      </c>
      <c r="CV165" s="3">
        <f t="array" ref="CV165">SUMPRODUCT($J165:$U165,TRANSPOSE(CV$3:CV$14))</f>
        <v>0</v>
      </c>
      <c r="CW165" s="3">
        <f t="array" ref="CW165">SUMPRODUCT($J165:$U165,TRANSPOSE(CW$3:CW$14))</f>
        <v>0</v>
      </c>
      <c r="CX165" s="3">
        <f t="array" ref="CX165">SUMPRODUCT($J165:$U165,TRANSPOSE(CX$3:CX$14))</f>
        <v>0</v>
      </c>
      <c r="CY165" s="3">
        <f t="array" ref="CY165">SUMPRODUCT($J165:$U165,TRANSPOSE(CY$3:CY$14))</f>
        <v>0</v>
      </c>
      <c r="CZ165" s="3">
        <f t="array" ref="CZ165">SUMPRODUCT($J165:$U165,TRANSPOSE(CZ$3:CZ$14))</f>
        <v>0</v>
      </c>
      <c r="DA165" s="3">
        <f t="array" ref="DA165">SUMPRODUCT($J165:$U165,TRANSPOSE(DA$3:DA$14))</f>
        <v>0</v>
      </c>
      <c r="DB165" s="3">
        <f t="array" ref="DB165">SUMPRODUCT($J165:$U165,TRANSPOSE(DB$3:DB$14))</f>
        <v>0</v>
      </c>
      <c r="DC165" s="3">
        <f t="array" ref="DC165">SUMPRODUCT($J165:$U165,TRANSPOSE(DC$3:DC$14))</f>
        <v>0</v>
      </c>
      <c r="DD165" s="3">
        <f t="array" ref="DD165">SUMPRODUCT($J165:$U165,TRANSPOSE(DD$3:DD$14))</f>
        <v>0</v>
      </c>
      <c r="DE165" s="3">
        <f t="array" ref="DE165">SUMPRODUCT($J165:$U165,TRANSPOSE(DE$3:DE$14))</f>
        <v>0</v>
      </c>
    </row>
    <row r="166" spans="1:109" ht="13.5" thickBot="1" x14ac:dyDescent="0.25">
      <c r="A166" s="3">
        <v>685</v>
      </c>
      <c r="B166" s="9" t="s">
        <v>293</v>
      </c>
      <c r="C166" s="3" t="s">
        <v>16</v>
      </c>
      <c r="D166" s="3">
        <v>512304791</v>
      </c>
      <c r="F166" s="3" t="s">
        <v>286</v>
      </c>
      <c r="G166" s="3" t="s">
        <v>14</v>
      </c>
      <c r="H166" s="3">
        <v>2</v>
      </c>
      <c r="I166" s="3">
        <v>43</v>
      </c>
      <c r="J166" s="3">
        <v>0</v>
      </c>
      <c r="K166" s="3">
        <v>0</v>
      </c>
      <c r="L166" s="3">
        <v>16</v>
      </c>
      <c r="M166" s="3">
        <v>0</v>
      </c>
      <c r="N166" s="3">
        <v>3</v>
      </c>
      <c r="O166" s="3">
        <v>16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f t="shared" si="43"/>
        <v>35</v>
      </c>
      <c r="W166" s="3">
        <f t="shared" si="44"/>
        <v>4550</v>
      </c>
      <c r="X166" s="6" t="s">
        <v>296</v>
      </c>
      <c r="Y166" s="3">
        <v>3.7499999999999999E-2</v>
      </c>
      <c r="Z166" s="3" t="s">
        <v>594</v>
      </c>
      <c r="AA166" s="3" t="s">
        <v>128</v>
      </c>
      <c r="AB166" s="3" t="s">
        <v>129</v>
      </c>
      <c r="AC166" s="23" t="s">
        <v>130</v>
      </c>
      <c r="BJ166" s="3">
        <f>SUM($AE166,$AF166:AH166)-SUM($CH166:CK166)</f>
        <v>-320</v>
      </c>
      <c r="BK166" s="3">
        <f>SUM($AE166,$AF166:AI166)-SUM($CH166:CL166)</f>
        <v>-830</v>
      </c>
      <c r="BL166" s="3">
        <f>SUM($AE166,$AF166:AJ166)-SUM($CH166:CM166)</f>
        <v>-1355</v>
      </c>
      <c r="BM166" s="3">
        <f>SUM($AE166,$AF166:AK166)-SUM($CH166:CN166)</f>
        <v>-2040</v>
      </c>
      <c r="BN166" s="3">
        <f>SUM($AE166,$AF166:AL166)-SUM($CH166:CO166)</f>
        <v>-2740</v>
      </c>
      <c r="BO166" s="3">
        <f>SUM($AE166,$AF166:AM166)-SUM($CH166:CP166)</f>
        <v>-3440</v>
      </c>
      <c r="BP166" s="3">
        <f>SUM($AE166,$AF166:AN166)-SUM($CH166:CQ166)</f>
        <v>-4140</v>
      </c>
      <c r="BQ166" s="3">
        <f>SUM($AE166,$AF166:AO166)-SUM($CH166:CR166)</f>
        <v>-4520</v>
      </c>
      <c r="BR166" s="3">
        <f>SUM($AE166,$AF166:AP166)-SUM($CH166:CS166)</f>
        <v>-4550</v>
      </c>
      <c r="BS166" s="3">
        <f>SUM($AE166,$AF166:AQ166)-SUM($CH166:CT166)</f>
        <v>-4550</v>
      </c>
      <c r="BT166" s="3">
        <f>SUM($AE166,$AF166:AR166)-SUM($CH166:CU166)</f>
        <v>-4550</v>
      </c>
      <c r="BU166" s="3">
        <f>SUM($AE166,$AF166:AS166)-SUM($CH166:CV166)</f>
        <v>-4550</v>
      </c>
      <c r="BV166" s="3">
        <f>SUM($AE166,$AF166:AT166)-SUM($CH166:CW166)</f>
        <v>-4550</v>
      </c>
      <c r="BW166" s="3">
        <f>SUM($AE166,$AF166:AU166)-SUM($CH166:CX166)</f>
        <v>-4550</v>
      </c>
      <c r="BX166" s="3">
        <f>SUM($AE166,$AF166:AV166)-SUM($CH166:CY166)</f>
        <v>-4550</v>
      </c>
      <c r="BY166" s="3">
        <f>SUM($AE166,$AF166:AW166)-SUM($CH166:CZ166)</f>
        <v>-4550</v>
      </c>
      <c r="BZ166" s="3">
        <f>SUM($AE166,$AF166:AX166)-SUM($CH166:DA166)</f>
        <v>-4550</v>
      </c>
      <c r="CA166" s="3">
        <f>SUM($AE166,$AF166:AY166)-SUM($CH166:DB166)</f>
        <v>-4550</v>
      </c>
      <c r="CB166" s="3">
        <f>SUM($AE166,$AF166:AZ166)-SUM($CH166:DC166)</f>
        <v>-4550</v>
      </c>
      <c r="CC166" s="3">
        <f>SUM($AE166,$AF166:BA166)-SUM($CH166:DD166)</f>
        <v>-4550</v>
      </c>
      <c r="CI166" s="3">
        <f t="array" ref="CI166">SUMPRODUCT($J166:$U166,TRANSPOSE(CI$3:CI$14))</f>
        <v>0</v>
      </c>
      <c r="CJ166" s="3">
        <f t="array" ref="CJ166">SUMPRODUCT($J166:$U166,TRANSPOSE(CJ$3:CJ$14))</f>
        <v>0</v>
      </c>
      <c r="CK166" s="3">
        <f t="array" ref="CK166">SUMPRODUCT($J166:$U166,TRANSPOSE(CK$3:CK$14))</f>
        <v>320</v>
      </c>
      <c r="CL166" s="3">
        <f t="array" ref="CL166">SUMPRODUCT($J166:$U166,TRANSPOSE(CL$3:CL$14))</f>
        <v>510</v>
      </c>
      <c r="CM166" s="3">
        <f t="array" ref="CM166">SUMPRODUCT($J166:$U166,TRANSPOSE(CM$3:CM$14))</f>
        <v>525</v>
      </c>
      <c r="CN166" s="3">
        <f t="array" ref="CN166">SUMPRODUCT($J166:$U166,TRANSPOSE(CN$3:CN$14))</f>
        <v>685</v>
      </c>
      <c r="CO166" s="3">
        <f t="array" ref="CO166">SUMPRODUCT($J166:$U166,TRANSPOSE(CO$3:CO$14))</f>
        <v>700</v>
      </c>
      <c r="CP166" s="3">
        <f t="array" ref="CP166">SUMPRODUCT($J166:$U166,TRANSPOSE(CP$3:CP$14))</f>
        <v>700</v>
      </c>
      <c r="CQ166" s="3">
        <f t="array" ref="CQ166">SUMPRODUCT($J166:$U166,TRANSPOSE(CQ$3:CQ$14))</f>
        <v>700</v>
      </c>
      <c r="CR166" s="3">
        <f t="array" ref="CR166">SUMPRODUCT($J166:$U166,TRANSPOSE(CR$3:CR$14))</f>
        <v>380</v>
      </c>
      <c r="CS166" s="3">
        <f t="array" ref="CS166">SUMPRODUCT($J166:$U166,TRANSPOSE(CS$3:CS$14))</f>
        <v>30</v>
      </c>
      <c r="CT166" s="3">
        <f t="array" ref="CT166">SUMPRODUCT($J166:$U166,TRANSPOSE(CT$3:CT$14))</f>
        <v>0</v>
      </c>
      <c r="CU166" s="3">
        <f t="array" ref="CU166">SUMPRODUCT($J166:$U166,TRANSPOSE(CU$3:CU$14))</f>
        <v>0</v>
      </c>
      <c r="CV166" s="3">
        <f t="array" ref="CV166">SUMPRODUCT($J166:$U166,TRANSPOSE(CV$3:CV$14))</f>
        <v>0</v>
      </c>
      <c r="CW166" s="3">
        <f t="array" ref="CW166">SUMPRODUCT($J166:$U166,TRANSPOSE(CW$3:CW$14))</f>
        <v>0</v>
      </c>
      <c r="CX166" s="3">
        <f t="array" ref="CX166">SUMPRODUCT($J166:$U166,TRANSPOSE(CX$3:CX$14))</f>
        <v>0</v>
      </c>
      <c r="CY166" s="3">
        <f t="array" ref="CY166">SUMPRODUCT($J166:$U166,TRANSPOSE(CY$3:CY$14))</f>
        <v>0</v>
      </c>
      <c r="CZ166" s="3">
        <f t="array" ref="CZ166">SUMPRODUCT($J166:$U166,TRANSPOSE(CZ$3:CZ$14))</f>
        <v>0</v>
      </c>
      <c r="DA166" s="3">
        <f t="array" ref="DA166">SUMPRODUCT($J166:$U166,TRANSPOSE(DA$3:DA$14))</f>
        <v>0</v>
      </c>
      <c r="DB166" s="3">
        <f t="array" ref="DB166">SUMPRODUCT($J166:$U166,TRANSPOSE(DB$3:DB$14))</f>
        <v>0</v>
      </c>
      <c r="DC166" s="3">
        <f t="array" ref="DC166">SUMPRODUCT($J166:$U166,TRANSPOSE(DC$3:DC$14))</f>
        <v>0</v>
      </c>
      <c r="DD166" s="3">
        <f t="array" ref="DD166">SUMPRODUCT($J166:$U166,TRANSPOSE(DD$3:DD$14))</f>
        <v>0</v>
      </c>
      <c r="DE166" s="3">
        <f t="array" ref="DE166">SUMPRODUCT($J166:$U166,TRANSPOSE(DE$3:DE$14))</f>
        <v>0</v>
      </c>
    </row>
    <row r="167" spans="1:109" ht="13.5" thickBot="1" x14ac:dyDescent="0.25">
      <c r="A167" s="3">
        <v>686</v>
      </c>
      <c r="B167" s="9" t="s">
        <v>294</v>
      </c>
      <c r="C167" s="3" t="s">
        <v>16</v>
      </c>
      <c r="D167" s="3">
        <v>512304809</v>
      </c>
      <c r="F167" s="3" t="s">
        <v>295</v>
      </c>
      <c r="G167" s="3" t="s">
        <v>14</v>
      </c>
      <c r="H167" s="3">
        <v>2</v>
      </c>
      <c r="I167" s="3">
        <v>1</v>
      </c>
      <c r="J167" s="3">
        <v>1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f t="shared" si="43"/>
        <v>1</v>
      </c>
      <c r="W167" s="3">
        <f t="shared" si="44"/>
        <v>130</v>
      </c>
      <c r="X167" s="6" t="s">
        <v>296</v>
      </c>
      <c r="Y167" s="3">
        <v>5.5E-2</v>
      </c>
      <c r="Z167" s="3" t="s">
        <v>594</v>
      </c>
      <c r="AA167" s="3" t="s">
        <v>128</v>
      </c>
      <c r="AB167" s="3" t="s">
        <v>129</v>
      </c>
      <c r="AC167" s="23" t="s">
        <v>130</v>
      </c>
      <c r="BJ167" s="3">
        <f>SUM($AE167,$AF167:AH167)-SUM($CH167:CK167)</f>
        <v>0</v>
      </c>
      <c r="BK167" s="3">
        <f>SUM($AE167,$AF167:AI167)-SUM($CH167:CL167)</f>
        <v>0</v>
      </c>
      <c r="BL167" s="3">
        <f>SUM($AE167,$AF167:AJ167)-SUM($CH167:CM167)</f>
        <v>-10</v>
      </c>
      <c r="BM167" s="3">
        <f>SUM($AE167,$AF167:AK167)-SUM($CH167:CN167)</f>
        <v>-25</v>
      </c>
      <c r="BN167" s="3">
        <f>SUM($AE167,$AF167:AL167)-SUM($CH167:CO167)</f>
        <v>-40</v>
      </c>
      <c r="BO167" s="3">
        <f>SUM($AE167,$AF167:AM167)-SUM($CH167:CP167)</f>
        <v>-60</v>
      </c>
      <c r="BP167" s="3">
        <f>SUM($AE167,$AF167:AN167)-SUM($CH167:CQ167)</f>
        <v>-80</v>
      </c>
      <c r="BQ167" s="3">
        <f>SUM($AE167,$AF167:AO167)-SUM($CH167:CR167)</f>
        <v>-100</v>
      </c>
      <c r="BR167" s="3">
        <f>SUM($AE167,$AF167:AP167)-SUM($CH167:CS167)</f>
        <v>-120</v>
      </c>
      <c r="BS167" s="3">
        <f>SUM($AE167,$AF167:AQ167)-SUM($CH167:CT167)</f>
        <v>-130</v>
      </c>
      <c r="BT167" s="3">
        <f>SUM($AE167,$AF167:AR167)-SUM($CH167:CU167)</f>
        <v>-130</v>
      </c>
      <c r="BU167" s="3">
        <f>SUM($AE167,$AF167:AS167)-SUM($CH167:CV167)</f>
        <v>-130</v>
      </c>
      <c r="BV167" s="3">
        <f>SUM($AE167,$AF167:AT167)-SUM($CH167:CW167)</f>
        <v>-130</v>
      </c>
      <c r="BW167" s="3">
        <f>SUM($AE167,$AF167:AU167)-SUM($CH167:CX167)</f>
        <v>-130</v>
      </c>
      <c r="BX167" s="3">
        <f>SUM($AE167,$AF167:AV167)-SUM($CH167:CY167)</f>
        <v>-130</v>
      </c>
      <c r="BY167" s="3">
        <f>SUM($AE167,$AF167:AW167)-SUM($CH167:CZ167)</f>
        <v>-130</v>
      </c>
      <c r="BZ167" s="3">
        <f>SUM($AE167,$AF167:AX167)-SUM($CH167:DA167)</f>
        <v>-130</v>
      </c>
      <c r="CA167" s="3">
        <f>SUM($AE167,$AF167:AY167)-SUM($CH167:DB167)</f>
        <v>-130</v>
      </c>
      <c r="CB167" s="3">
        <f>SUM($AE167,$AF167:AZ167)-SUM($CH167:DC167)</f>
        <v>-130</v>
      </c>
      <c r="CC167" s="3">
        <f>SUM($AE167,$AF167:BA167)-SUM($CH167:DD167)</f>
        <v>-130</v>
      </c>
      <c r="CI167" s="3">
        <f t="array" ref="CI167">SUMPRODUCT($J167:$U167,TRANSPOSE(CI$3:CI$14))</f>
        <v>0</v>
      </c>
      <c r="CJ167" s="3">
        <f t="array" ref="CJ167">SUMPRODUCT($J167:$U167,TRANSPOSE(CJ$3:CJ$14))</f>
        <v>0</v>
      </c>
      <c r="CK167" s="3">
        <f t="array" ref="CK167">SUMPRODUCT($J167:$U167,TRANSPOSE(CK$3:CK$14))</f>
        <v>0</v>
      </c>
      <c r="CL167" s="3">
        <f t="array" ref="CL167">SUMPRODUCT($J167:$U167,TRANSPOSE(CL$3:CL$14))</f>
        <v>0</v>
      </c>
      <c r="CM167" s="3">
        <f t="array" ref="CM167">SUMPRODUCT($J167:$U167,TRANSPOSE(CM$3:CM$14))</f>
        <v>10</v>
      </c>
      <c r="CN167" s="3">
        <f t="array" ref="CN167">SUMPRODUCT($J167:$U167,TRANSPOSE(CN$3:CN$14))</f>
        <v>15</v>
      </c>
      <c r="CO167" s="3">
        <f t="array" ref="CO167">SUMPRODUCT($J167:$U167,TRANSPOSE(CO$3:CO$14))</f>
        <v>15</v>
      </c>
      <c r="CP167" s="3">
        <f t="array" ref="CP167">SUMPRODUCT($J167:$U167,TRANSPOSE(CP$3:CP$14))</f>
        <v>20</v>
      </c>
      <c r="CQ167" s="3">
        <f t="array" ref="CQ167">SUMPRODUCT($J167:$U167,TRANSPOSE(CQ$3:CQ$14))</f>
        <v>20</v>
      </c>
      <c r="CR167" s="3">
        <f t="array" ref="CR167">SUMPRODUCT($J167:$U167,TRANSPOSE(CR$3:CR$14))</f>
        <v>20</v>
      </c>
      <c r="CS167" s="3">
        <f t="array" ref="CS167">SUMPRODUCT($J167:$U167,TRANSPOSE(CS$3:CS$14))</f>
        <v>20</v>
      </c>
      <c r="CT167" s="3">
        <f t="array" ref="CT167">SUMPRODUCT($J167:$U167,TRANSPOSE(CT$3:CT$14))</f>
        <v>10</v>
      </c>
      <c r="CU167" s="3">
        <f t="array" ref="CU167">SUMPRODUCT($J167:$U167,TRANSPOSE(CU$3:CU$14))</f>
        <v>0</v>
      </c>
      <c r="CV167" s="3">
        <f t="array" ref="CV167">SUMPRODUCT($J167:$U167,TRANSPOSE(CV$3:CV$14))</f>
        <v>0</v>
      </c>
      <c r="CW167" s="3">
        <f t="array" ref="CW167">SUMPRODUCT($J167:$U167,TRANSPOSE(CW$3:CW$14))</f>
        <v>0</v>
      </c>
      <c r="CX167" s="3">
        <f t="array" ref="CX167">SUMPRODUCT($J167:$U167,TRANSPOSE(CX$3:CX$14))</f>
        <v>0</v>
      </c>
      <c r="CY167" s="3">
        <f t="array" ref="CY167">SUMPRODUCT($J167:$U167,TRANSPOSE(CY$3:CY$14))</f>
        <v>0</v>
      </c>
      <c r="CZ167" s="3">
        <f t="array" ref="CZ167">SUMPRODUCT($J167:$U167,TRANSPOSE(CZ$3:CZ$14))</f>
        <v>0</v>
      </c>
      <c r="DA167" s="3">
        <f t="array" ref="DA167">SUMPRODUCT($J167:$U167,TRANSPOSE(DA$3:DA$14))</f>
        <v>0</v>
      </c>
      <c r="DB167" s="3">
        <f t="array" ref="DB167">SUMPRODUCT($J167:$U167,TRANSPOSE(DB$3:DB$14))</f>
        <v>0</v>
      </c>
      <c r="DC167" s="3">
        <f t="array" ref="DC167">SUMPRODUCT($J167:$U167,TRANSPOSE(DC$3:DC$14))</f>
        <v>0</v>
      </c>
      <c r="DD167" s="3">
        <f t="array" ref="DD167">SUMPRODUCT($J167:$U167,TRANSPOSE(DD$3:DD$14))</f>
        <v>0</v>
      </c>
      <c r="DE167" s="3">
        <f t="array" ref="DE167">SUMPRODUCT($J167:$U167,TRANSPOSE(DE$3:DE$14))</f>
        <v>0</v>
      </c>
    </row>
    <row r="168" spans="1:109" ht="13.5" thickBot="1" x14ac:dyDescent="0.25">
      <c r="A168" s="3">
        <v>687</v>
      </c>
      <c r="B168" s="9" t="s">
        <v>297</v>
      </c>
      <c r="C168" s="3" t="s">
        <v>16</v>
      </c>
      <c r="D168" s="3">
        <v>512305368</v>
      </c>
      <c r="F168" s="3" t="s">
        <v>295</v>
      </c>
      <c r="G168" s="3" t="s">
        <v>14</v>
      </c>
      <c r="H168" s="3">
        <v>2</v>
      </c>
      <c r="I168" s="3">
        <v>10</v>
      </c>
      <c r="J168" s="3">
        <v>0</v>
      </c>
      <c r="K168" s="3">
        <v>6</v>
      </c>
      <c r="L168" s="3">
        <v>0</v>
      </c>
      <c r="M168" s="3">
        <v>0</v>
      </c>
      <c r="N168" s="3">
        <v>4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f t="shared" si="43"/>
        <v>10</v>
      </c>
      <c r="W168" s="3">
        <f t="shared" si="44"/>
        <v>1300</v>
      </c>
      <c r="X168" s="6" t="s">
        <v>296</v>
      </c>
      <c r="Y168" s="3">
        <v>5.5E-2</v>
      </c>
      <c r="Z168" s="3" t="s">
        <v>594</v>
      </c>
      <c r="AA168" s="3" t="s">
        <v>128</v>
      </c>
      <c r="AB168" s="3" t="s">
        <v>129</v>
      </c>
      <c r="AC168" s="23" t="s">
        <v>130</v>
      </c>
      <c r="BJ168" s="3">
        <f>SUM($AE168,$AF168:AH168)-SUM($CH168:CK168)</f>
        <v>0</v>
      </c>
      <c r="BK168" s="3">
        <f>SUM($AE168,$AF168:AI168)-SUM($CH168:CL168)</f>
        <v>-100</v>
      </c>
      <c r="BL168" s="3">
        <f>SUM($AE168,$AF168:AJ168)-SUM($CH168:CM168)</f>
        <v>-250</v>
      </c>
      <c r="BM168" s="3">
        <f>SUM($AE168,$AF168:AK168)-SUM($CH168:CN168)</f>
        <v>-400</v>
      </c>
      <c r="BN168" s="3">
        <f>SUM($AE168,$AF168:AL168)-SUM($CH168:CO168)</f>
        <v>-600</v>
      </c>
      <c r="BO168" s="3">
        <f>SUM($AE168,$AF168:AM168)-SUM($CH168:CP168)</f>
        <v>-800</v>
      </c>
      <c r="BP168" s="3">
        <f>SUM($AE168,$AF168:AN168)-SUM($CH168:CQ168)</f>
        <v>-1000</v>
      </c>
      <c r="BQ168" s="3">
        <f>SUM($AE168,$AF168:AO168)-SUM($CH168:CR168)</f>
        <v>-1200</v>
      </c>
      <c r="BR168" s="3">
        <f>SUM($AE168,$AF168:AP168)-SUM($CH168:CS168)</f>
        <v>-1300</v>
      </c>
      <c r="BS168" s="3">
        <f>SUM($AE168,$AF168:AQ168)-SUM($CH168:CT168)</f>
        <v>-1300</v>
      </c>
      <c r="BT168" s="3">
        <f>SUM($AE168,$AF168:AR168)-SUM($CH168:CU168)</f>
        <v>-1300</v>
      </c>
      <c r="BU168" s="3">
        <f>SUM($AE168,$AF168:AS168)-SUM($CH168:CV168)</f>
        <v>-1300</v>
      </c>
      <c r="BV168" s="3">
        <f>SUM($AE168,$AF168:AT168)-SUM($CH168:CW168)</f>
        <v>-1300</v>
      </c>
      <c r="BW168" s="3">
        <f>SUM($AE168,$AF168:AU168)-SUM($CH168:CX168)</f>
        <v>-1300</v>
      </c>
      <c r="BX168" s="3">
        <f>SUM($AE168,$AF168:AV168)-SUM($CH168:CY168)</f>
        <v>-1300</v>
      </c>
      <c r="BY168" s="3">
        <f>SUM($AE168,$AF168:AW168)-SUM($CH168:CZ168)</f>
        <v>-1300</v>
      </c>
      <c r="BZ168" s="3">
        <f>SUM($AE168,$AF168:AX168)-SUM($CH168:DA168)</f>
        <v>-1300</v>
      </c>
      <c r="CA168" s="3">
        <f>SUM($AE168,$AF168:AY168)-SUM($CH168:DB168)</f>
        <v>-1300</v>
      </c>
      <c r="CB168" s="3">
        <f>SUM($AE168,$AF168:AZ168)-SUM($CH168:DC168)</f>
        <v>-1300</v>
      </c>
      <c r="CC168" s="3">
        <f>SUM($AE168,$AF168:BA168)-SUM($CH168:DD168)</f>
        <v>-1300</v>
      </c>
      <c r="CI168" s="3">
        <f t="array" ref="CI168">SUMPRODUCT($J168:$U168,TRANSPOSE(CI$3:CI$14))</f>
        <v>0</v>
      </c>
      <c r="CJ168" s="3">
        <f t="array" ref="CJ168">SUMPRODUCT($J168:$U168,TRANSPOSE(CJ$3:CJ$14))</f>
        <v>0</v>
      </c>
      <c r="CK168" s="3">
        <f t="array" ref="CK168">SUMPRODUCT($J168:$U168,TRANSPOSE(CK$3:CK$14))</f>
        <v>0</v>
      </c>
      <c r="CL168" s="3">
        <f t="array" ref="CL168">SUMPRODUCT($J168:$U168,TRANSPOSE(CL$3:CL$14))</f>
        <v>100</v>
      </c>
      <c r="CM168" s="3">
        <f t="array" ref="CM168">SUMPRODUCT($J168:$U168,TRANSPOSE(CM$3:CM$14))</f>
        <v>150</v>
      </c>
      <c r="CN168" s="3">
        <f t="array" ref="CN168">SUMPRODUCT($J168:$U168,TRANSPOSE(CN$3:CN$14))</f>
        <v>150</v>
      </c>
      <c r="CO168" s="3">
        <f t="array" ref="CO168">SUMPRODUCT($J168:$U168,TRANSPOSE(CO$3:CO$14))</f>
        <v>200</v>
      </c>
      <c r="CP168" s="3">
        <f t="array" ref="CP168">SUMPRODUCT($J168:$U168,TRANSPOSE(CP$3:CP$14))</f>
        <v>200</v>
      </c>
      <c r="CQ168" s="3">
        <f t="array" ref="CQ168">SUMPRODUCT($J168:$U168,TRANSPOSE(CQ$3:CQ$14))</f>
        <v>200</v>
      </c>
      <c r="CR168" s="3">
        <f t="array" ref="CR168">SUMPRODUCT($J168:$U168,TRANSPOSE(CR$3:CR$14))</f>
        <v>200</v>
      </c>
      <c r="CS168" s="3">
        <f t="array" ref="CS168">SUMPRODUCT($J168:$U168,TRANSPOSE(CS$3:CS$14))</f>
        <v>100</v>
      </c>
      <c r="CT168" s="3">
        <f t="array" ref="CT168">SUMPRODUCT($J168:$U168,TRANSPOSE(CT$3:CT$14))</f>
        <v>0</v>
      </c>
      <c r="CU168" s="3">
        <f t="array" ref="CU168">SUMPRODUCT($J168:$U168,TRANSPOSE(CU$3:CU$14))</f>
        <v>0</v>
      </c>
      <c r="CV168" s="3">
        <f t="array" ref="CV168">SUMPRODUCT($J168:$U168,TRANSPOSE(CV$3:CV$14))</f>
        <v>0</v>
      </c>
      <c r="CW168" s="3">
        <f t="array" ref="CW168">SUMPRODUCT($J168:$U168,TRANSPOSE(CW$3:CW$14))</f>
        <v>0</v>
      </c>
      <c r="CX168" s="3">
        <f t="array" ref="CX168">SUMPRODUCT($J168:$U168,TRANSPOSE(CX$3:CX$14))</f>
        <v>0</v>
      </c>
      <c r="CY168" s="3">
        <f t="array" ref="CY168">SUMPRODUCT($J168:$U168,TRANSPOSE(CY$3:CY$14))</f>
        <v>0</v>
      </c>
      <c r="CZ168" s="3">
        <f t="array" ref="CZ168">SUMPRODUCT($J168:$U168,TRANSPOSE(CZ$3:CZ$14))</f>
        <v>0</v>
      </c>
      <c r="DA168" s="3">
        <f t="array" ref="DA168">SUMPRODUCT($J168:$U168,TRANSPOSE(DA$3:DA$14))</f>
        <v>0</v>
      </c>
      <c r="DB168" s="3">
        <f t="array" ref="DB168">SUMPRODUCT($J168:$U168,TRANSPOSE(DB$3:DB$14))</f>
        <v>0</v>
      </c>
      <c r="DC168" s="3">
        <f t="array" ref="DC168">SUMPRODUCT($J168:$U168,TRANSPOSE(DC$3:DC$14))</f>
        <v>0</v>
      </c>
      <c r="DD168" s="3">
        <f t="array" ref="DD168">SUMPRODUCT($J168:$U168,TRANSPOSE(DD$3:DD$14))</f>
        <v>0</v>
      </c>
      <c r="DE168" s="3">
        <f t="array" ref="DE168">SUMPRODUCT($J168:$U168,TRANSPOSE(DE$3:DE$14))</f>
        <v>0</v>
      </c>
    </row>
    <row r="169" spans="1:109" ht="13.5" thickBot="1" x14ac:dyDescent="0.25">
      <c r="A169" s="3">
        <v>688</v>
      </c>
      <c r="B169" s="9" t="s">
        <v>670</v>
      </c>
      <c r="C169" s="3" t="s">
        <v>16</v>
      </c>
      <c r="D169" s="3">
        <v>512304825</v>
      </c>
      <c r="F169" s="3" t="s">
        <v>295</v>
      </c>
      <c r="G169" s="3" t="s">
        <v>14</v>
      </c>
      <c r="H169" s="3">
        <v>2</v>
      </c>
      <c r="I169" s="3">
        <v>6</v>
      </c>
      <c r="J169" s="3">
        <v>0</v>
      </c>
      <c r="K169" s="3">
        <v>4</v>
      </c>
      <c r="L169" s="3">
        <v>0</v>
      </c>
      <c r="M169" s="3">
        <v>0</v>
      </c>
      <c r="N169" s="3">
        <v>2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f t="shared" si="43"/>
        <v>6</v>
      </c>
      <c r="W169" s="3">
        <f t="shared" si="44"/>
        <v>780</v>
      </c>
      <c r="X169" s="6" t="s">
        <v>296</v>
      </c>
      <c r="Y169" s="3">
        <v>0.05</v>
      </c>
      <c r="Z169" s="3" t="s">
        <v>594</v>
      </c>
      <c r="AA169" s="3" t="s">
        <v>128</v>
      </c>
      <c r="AB169" s="3" t="s">
        <v>129</v>
      </c>
      <c r="AC169" s="23" t="s">
        <v>130</v>
      </c>
      <c r="BJ169" s="3">
        <f>SUM($AE169,$AF169:AH169)-SUM($CH169:CK169)</f>
        <v>0</v>
      </c>
      <c r="BK169" s="3">
        <f>SUM($AE169,$AF169:AI169)-SUM($CH169:CL169)</f>
        <v>-60</v>
      </c>
      <c r="BL169" s="3">
        <f>SUM($AE169,$AF169:AJ169)-SUM($CH169:CM169)</f>
        <v>-150</v>
      </c>
      <c r="BM169" s="3">
        <f>SUM($AE169,$AF169:AK169)-SUM($CH169:CN169)</f>
        <v>-240</v>
      </c>
      <c r="BN169" s="3">
        <f>SUM($AE169,$AF169:AL169)-SUM($CH169:CO169)</f>
        <v>-360</v>
      </c>
      <c r="BO169" s="3">
        <f>SUM($AE169,$AF169:AM169)-SUM($CH169:CP169)</f>
        <v>-480</v>
      </c>
      <c r="BP169" s="3">
        <f>SUM($AE169,$AF169:AN169)-SUM($CH169:CQ169)</f>
        <v>-600</v>
      </c>
      <c r="BQ169" s="3">
        <f>SUM($AE169,$AF169:AO169)-SUM($CH169:CR169)</f>
        <v>-720</v>
      </c>
      <c r="BR169" s="3">
        <f>SUM($AE169,$AF169:AP169)-SUM($CH169:CS169)</f>
        <v>-780</v>
      </c>
      <c r="BS169" s="3">
        <f>SUM($AE169,$AF169:AQ169)-SUM($CH169:CT169)</f>
        <v>-780</v>
      </c>
      <c r="BT169" s="3">
        <f>SUM($AE169,$AF169:AR169)-SUM($CH169:CU169)</f>
        <v>-780</v>
      </c>
      <c r="BU169" s="3">
        <f>SUM($AE169,$AF169:AS169)-SUM($CH169:CV169)</f>
        <v>-780</v>
      </c>
      <c r="BV169" s="3">
        <f>SUM($AE169,$AF169:AT169)-SUM($CH169:CW169)</f>
        <v>-780</v>
      </c>
      <c r="BW169" s="3">
        <f>SUM($AE169,$AF169:AU169)-SUM($CH169:CX169)</f>
        <v>-780</v>
      </c>
      <c r="BX169" s="3">
        <f>SUM($AE169,$AF169:AV169)-SUM($CH169:CY169)</f>
        <v>-780</v>
      </c>
      <c r="BY169" s="3">
        <f>SUM($AE169,$AF169:AW169)-SUM($CH169:CZ169)</f>
        <v>-780</v>
      </c>
      <c r="BZ169" s="3">
        <f>SUM($AE169,$AF169:AX169)-SUM($CH169:DA169)</f>
        <v>-780</v>
      </c>
      <c r="CA169" s="3">
        <f>SUM($AE169,$AF169:AY169)-SUM($CH169:DB169)</f>
        <v>-780</v>
      </c>
      <c r="CB169" s="3">
        <f>SUM($AE169,$AF169:AZ169)-SUM($CH169:DC169)</f>
        <v>-780</v>
      </c>
      <c r="CC169" s="3">
        <f>SUM($AE169,$AF169:BA169)-SUM($CH169:DD169)</f>
        <v>-780</v>
      </c>
      <c r="CI169" s="3">
        <f t="array" ref="CI169">SUMPRODUCT($J169:$U169,TRANSPOSE(CI$3:CI$14))</f>
        <v>0</v>
      </c>
      <c r="CJ169" s="3">
        <f t="array" ref="CJ169">SUMPRODUCT($J169:$U169,TRANSPOSE(CJ$3:CJ$14))</f>
        <v>0</v>
      </c>
      <c r="CK169" s="3">
        <f t="array" ref="CK169">SUMPRODUCT($J169:$U169,TRANSPOSE(CK$3:CK$14))</f>
        <v>0</v>
      </c>
      <c r="CL169" s="3">
        <f t="array" ref="CL169">SUMPRODUCT($J169:$U169,TRANSPOSE(CL$3:CL$14))</f>
        <v>60</v>
      </c>
      <c r="CM169" s="3">
        <f t="array" ref="CM169">SUMPRODUCT($J169:$U169,TRANSPOSE(CM$3:CM$14))</f>
        <v>90</v>
      </c>
      <c r="CN169" s="3">
        <f t="array" ref="CN169">SUMPRODUCT($J169:$U169,TRANSPOSE(CN$3:CN$14))</f>
        <v>90</v>
      </c>
      <c r="CO169" s="3">
        <f t="array" ref="CO169">SUMPRODUCT($J169:$U169,TRANSPOSE(CO$3:CO$14))</f>
        <v>120</v>
      </c>
      <c r="CP169" s="3">
        <f t="array" ref="CP169">SUMPRODUCT($J169:$U169,TRANSPOSE(CP$3:CP$14))</f>
        <v>120</v>
      </c>
      <c r="CQ169" s="3">
        <f t="array" ref="CQ169">SUMPRODUCT($J169:$U169,TRANSPOSE(CQ$3:CQ$14))</f>
        <v>120</v>
      </c>
      <c r="CR169" s="3">
        <f t="array" ref="CR169">SUMPRODUCT($J169:$U169,TRANSPOSE(CR$3:CR$14))</f>
        <v>120</v>
      </c>
      <c r="CS169" s="3">
        <f t="array" ref="CS169">SUMPRODUCT($J169:$U169,TRANSPOSE(CS$3:CS$14))</f>
        <v>60</v>
      </c>
      <c r="CT169" s="3">
        <f t="array" ref="CT169">SUMPRODUCT($J169:$U169,TRANSPOSE(CT$3:CT$14))</f>
        <v>0</v>
      </c>
      <c r="CU169" s="3">
        <f t="array" ref="CU169">SUMPRODUCT($J169:$U169,TRANSPOSE(CU$3:CU$14))</f>
        <v>0</v>
      </c>
      <c r="CV169" s="3">
        <f t="array" ref="CV169">SUMPRODUCT($J169:$U169,TRANSPOSE(CV$3:CV$14))</f>
        <v>0</v>
      </c>
      <c r="CW169" s="3">
        <f t="array" ref="CW169">SUMPRODUCT($J169:$U169,TRANSPOSE(CW$3:CW$14))</f>
        <v>0</v>
      </c>
      <c r="CX169" s="3">
        <f t="array" ref="CX169">SUMPRODUCT($J169:$U169,TRANSPOSE(CX$3:CX$14))</f>
        <v>0</v>
      </c>
      <c r="CY169" s="3">
        <f t="array" ref="CY169">SUMPRODUCT($J169:$U169,TRANSPOSE(CY$3:CY$14))</f>
        <v>0</v>
      </c>
      <c r="CZ169" s="3">
        <f t="array" ref="CZ169">SUMPRODUCT($J169:$U169,TRANSPOSE(CZ$3:CZ$14))</f>
        <v>0</v>
      </c>
      <c r="DA169" s="3">
        <f t="array" ref="DA169">SUMPRODUCT($J169:$U169,TRANSPOSE(DA$3:DA$14))</f>
        <v>0</v>
      </c>
      <c r="DB169" s="3">
        <f t="array" ref="DB169">SUMPRODUCT($J169:$U169,TRANSPOSE(DB$3:DB$14))</f>
        <v>0</v>
      </c>
      <c r="DC169" s="3">
        <f t="array" ref="DC169">SUMPRODUCT($J169:$U169,TRANSPOSE(DC$3:DC$14))</f>
        <v>0</v>
      </c>
      <c r="DD169" s="3">
        <f t="array" ref="DD169">SUMPRODUCT($J169:$U169,TRANSPOSE(DD$3:DD$14))</f>
        <v>0</v>
      </c>
      <c r="DE169" s="3">
        <f t="array" ref="DE169">SUMPRODUCT($J169:$U169,TRANSPOSE(DE$3:DE$14))</f>
        <v>0</v>
      </c>
    </row>
    <row r="170" spans="1:109" ht="13.5" thickBot="1" x14ac:dyDescent="0.25">
      <c r="A170" s="3">
        <v>689</v>
      </c>
      <c r="B170" s="9" t="s">
        <v>671</v>
      </c>
      <c r="C170" s="3" t="s">
        <v>16</v>
      </c>
      <c r="D170" s="3">
        <v>512318221</v>
      </c>
      <c r="F170" s="3" t="s">
        <v>286</v>
      </c>
      <c r="G170" s="3" t="s">
        <v>14</v>
      </c>
      <c r="H170" s="3">
        <v>2</v>
      </c>
      <c r="I170" s="3">
        <v>111</v>
      </c>
      <c r="J170" s="3">
        <v>0</v>
      </c>
      <c r="K170" s="3">
        <v>53</v>
      </c>
      <c r="L170" s="3">
        <v>0</v>
      </c>
      <c r="M170" s="3">
        <v>0</v>
      </c>
      <c r="N170" s="3">
        <v>58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f t="shared" si="43"/>
        <v>111</v>
      </c>
      <c r="W170" s="3">
        <f t="shared" si="44"/>
        <v>14430</v>
      </c>
      <c r="X170" s="6" t="s">
        <v>296</v>
      </c>
      <c r="Y170" s="3">
        <v>5.1499999999999997E-2</v>
      </c>
      <c r="Z170" s="3" t="s">
        <v>594</v>
      </c>
      <c r="AA170" s="3" t="s">
        <v>128</v>
      </c>
      <c r="AB170" s="3" t="s">
        <v>129</v>
      </c>
      <c r="AC170" s="23" t="s">
        <v>130</v>
      </c>
      <c r="BJ170" s="3">
        <f>SUM($AE170,$AF170:AH170)-SUM($CH170:CK170)</f>
        <v>0</v>
      </c>
      <c r="BK170" s="3">
        <f>SUM($AE170,$AF170:AI170)-SUM($CH170:CL170)</f>
        <v>-1110</v>
      </c>
      <c r="BL170" s="3">
        <f>SUM($AE170,$AF170:AJ170)-SUM($CH170:CM170)</f>
        <v>-2775</v>
      </c>
      <c r="BM170" s="3">
        <f>SUM($AE170,$AF170:AK170)-SUM($CH170:CN170)</f>
        <v>-4440</v>
      </c>
      <c r="BN170" s="3">
        <f>SUM($AE170,$AF170:AL170)-SUM($CH170:CO170)</f>
        <v>-6660</v>
      </c>
      <c r="BO170" s="3">
        <f>SUM($AE170,$AF170:AM170)-SUM($CH170:CP170)</f>
        <v>-8880</v>
      </c>
      <c r="BP170" s="3">
        <f>SUM($AE170,$AF170:AN170)-SUM($CH170:CQ170)</f>
        <v>-11100</v>
      </c>
      <c r="BQ170" s="3">
        <f>SUM($AE170,$AF170:AO170)-SUM($CH170:CR170)</f>
        <v>-13320</v>
      </c>
      <c r="BR170" s="3">
        <f>SUM($AE170,$AF170:AP170)-SUM($CH170:CS170)</f>
        <v>-14430</v>
      </c>
      <c r="BS170" s="3">
        <f>SUM($AE170,$AF170:AQ170)-SUM($CH170:CT170)</f>
        <v>-14430</v>
      </c>
      <c r="BT170" s="3">
        <f>SUM($AE170,$AF170:AR170)-SUM($CH170:CU170)</f>
        <v>-14430</v>
      </c>
      <c r="BU170" s="3">
        <f>SUM($AE170,$AF170:AS170)-SUM($CH170:CV170)</f>
        <v>-14430</v>
      </c>
      <c r="BV170" s="3">
        <f>SUM($AE170,$AF170:AT170)-SUM($CH170:CW170)</f>
        <v>-14430</v>
      </c>
      <c r="BW170" s="3">
        <f>SUM($AE170,$AF170:AU170)-SUM($CH170:CX170)</f>
        <v>-14430</v>
      </c>
      <c r="BX170" s="3">
        <f>SUM($AE170,$AF170:AV170)-SUM($CH170:CY170)</f>
        <v>-14430</v>
      </c>
      <c r="BY170" s="3">
        <f>SUM($AE170,$AF170:AW170)-SUM($CH170:CZ170)</f>
        <v>-14430</v>
      </c>
      <c r="BZ170" s="3">
        <f>SUM($AE170,$AF170:AX170)-SUM($CH170:DA170)</f>
        <v>-14430</v>
      </c>
      <c r="CA170" s="3">
        <f>SUM($AE170,$AF170:AY170)-SUM($CH170:DB170)</f>
        <v>-14430</v>
      </c>
      <c r="CB170" s="3">
        <f>SUM($AE170,$AF170:AZ170)-SUM($CH170:DC170)</f>
        <v>-14430</v>
      </c>
      <c r="CC170" s="3">
        <f>SUM($AE170,$AF170:BA170)-SUM($CH170:DD170)</f>
        <v>-14430</v>
      </c>
      <c r="CI170" s="3">
        <f t="array" ref="CI170">SUMPRODUCT($J170:$U170,TRANSPOSE(CI$3:CI$14))</f>
        <v>0</v>
      </c>
      <c r="CJ170" s="3">
        <f t="array" ref="CJ170">SUMPRODUCT($J170:$U170,TRANSPOSE(CJ$3:CJ$14))</f>
        <v>0</v>
      </c>
      <c r="CK170" s="3">
        <f t="array" ref="CK170">SUMPRODUCT($J170:$U170,TRANSPOSE(CK$3:CK$14))</f>
        <v>0</v>
      </c>
      <c r="CL170" s="3">
        <f t="array" ref="CL170">SUMPRODUCT($J170:$U170,TRANSPOSE(CL$3:CL$14))</f>
        <v>1110</v>
      </c>
      <c r="CM170" s="3">
        <f t="array" ref="CM170">SUMPRODUCT($J170:$U170,TRANSPOSE(CM$3:CM$14))</f>
        <v>1665</v>
      </c>
      <c r="CN170" s="3">
        <f t="array" ref="CN170">SUMPRODUCT($J170:$U170,TRANSPOSE(CN$3:CN$14))</f>
        <v>1665</v>
      </c>
      <c r="CO170" s="3">
        <f t="array" ref="CO170">SUMPRODUCT($J170:$U170,TRANSPOSE(CO$3:CO$14))</f>
        <v>2220</v>
      </c>
      <c r="CP170" s="3">
        <f t="array" ref="CP170">SUMPRODUCT($J170:$U170,TRANSPOSE(CP$3:CP$14))</f>
        <v>2220</v>
      </c>
      <c r="CQ170" s="3">
        <f t="array" ref="CQ170">SUMPRODUCT($J170:$U170,TRANSPOSE(CQ$3:CQ$14))</f>
        <v>2220</v>
      </c>
      <c r="CR170" s="3">
        <f t="array" ref="CR170">SUMPRODUCT($J170:$U170,TRANSPOSE(CR$3:CR$14))</f>
        <v>2220</v>
      </c>
      <c r="CS170" s="3">
        <f t="array" ref="CS170">SUMPRODUCT($J170:$U170,TRANSPOSE(CS$3:CS$14))</f>
        <v>1110</v>
      </c>
      <c r="CT170" s="3">
        <f t="array" ref="CT170">SUMPRODUCT($J170:$U170,TRANSPOSE(CT$3:CT$14))</f>
        <v>0</v>
      </c>
      <c r="CU170" s="3">
        <f t="array" ref="CU170">SUMPRODUCT($J170:$U170,TRANSPOSE(CU$3:CU$14))</f>
        <v>0</v>
      </c>
      <c r="CV170" s="3">
        <f t="array" ref="CV170">SUMPRODUCT($J170:$U170,TRANSPOSE(CV$3:CV$14))</f>
        <v>0</v>
      </c>
      <c r="CW170" s="3">
        <f t="array" ref="CW170">SUMPRODUCT($J170:$U170,TRANSPOSE(CW$3:CW$14))</f>
        <v>0</v>
      </c>
      <c r="CX170" s="3">
        <f t="array" ref="CX170">SUMPRODUCT($J170:$U170,TRANSPOSE(CX$3:CX$14))</f>
        <v>0</v>
      </c>
      <c r="CY170" s="3">
        <f t="array" ref="CY170">SUMPRODUCT($J170:$U170,TRANSPOSE(CY$3:CY$14))</f>
        <v>0</v>
      </c>
      <c r="CZ170" s="3">
        <f t="array" ref="CZ170">SUMPRODUCT($J170:$U170,TRANSPOSE(CZ$3:CZ$14))</f>
        <v>0</v>
      </c>
      <c r="DA170" s="3">
        <f t="array" ref="DA170">SUMPRODUCT($J170:$U170,TRANSPOSE(DA$3:DA$14))</f>
        <v>0</v>
      </c>
      <c r="DB170" s="3">
        <f t="array" ref="DB170">SUMPRODUCT($J170:$U170,TRANSPOSE(DB$3:DB$14))</f>
        <v>0</v>
      </c>
      <c r="DC170" s="3">
        <f t="array" ref="DC170">SUMPRODUCT($J170:$U170,TRANSPOSE(DC$3:DC$14))</f>
        <v>0</v>
      </c>
      <c r="DD170" s="3">
        <f t="array" ref="DD170">SUMPRODUCT($J170:$U170,TRANSPOSE(DD$3:DD$14))</f>
        <v>0</v>
      </c>
      <c r="DE170" s="3">
        <f t="array" ref="DE170">SUMPRODUCT($J170:$U170,TRANSPOSE(DE$3:DE$14))</f>
        <v>0</v>
      </c>
    </row>
    <row r="171" spans="1:109" ht="13.5" thickBot="1" x14ac:dyDescent="0.25">
      <c r="A171" s="3">
        <v>690</v>
      </c>
      <c r="B171" s="9" t="s">
        <v>672</v>
      </c>
      <c r="C171" s="3" t="s">
        <v>16</v>
      </c>
      <c r="D171" s="3">
        <v>512321324</v>
      </c>
      <c r="F171" s="3" t="s">
        <v>286</v>
      </c>
      <c r="G171" s="3" t="s">
        <v>14</v>
      </c>
      <c r="H171" s="3">
        <v>2</v>
      </c>
      <c r="I171" s="3">
        <v>5</v>
      </c>
      <c r="J171" s="3">
        <v>5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f t="shared" si="43"/>
        <v>5</v>
      </c>
      <c r="W171" s="3">
        <f t="shared" si="44"/>
        <v>650</v>
      </c>
      <c r="X171" s="6" t="s">
        <v>296</v>
      </c>
      <c r="Y171" s="3">
        <v>0.15</v>
      </c>
      <c r="Z171" s="3" t="s">
        <v>594</v>
      </c>
      <c r="AA171" s="3" t="s">
        <v>128</v>
      </c>
      <c r="AB171" s="3" t="s">
        <v>129</v>
      </c>
      <c r="AC171" s="23" t="s">
        <v>130</v>
      </c>
      <c r="BJ171" s="3">
        <f>SUM($AE171,$AF171:AH171)-SUM($CH171:CK171)</f>
        <v>0</v>
      </c>
      <c r="BK171" s="3">
        <f>SUM($AE171,$AF171:AI171)-SUM($CH171:CL171)</f>
        <v>0</v>
      </c>
      <c r="BL171" s="3">
        <f>SUM($AE171,$AF171:AJ171)-SUM($CH171:CM171)</f>
        <v>-50</v>
      </c>
      <c r="BM171" s="3">
        <f>SUM($AE171,$AF171:AK171)-SUM($CH171:CN171)</f>
        <v>-125</v>
      </c>
      <c r="BN171" s="3">
        <f>SUM($AE171,$AF171:AL171)-SUM($CH171:CO171)</f>
        <v>-200</v>
      </c>
      <c r="BO171" s="3">
        <f>SUM($AE171,$AF171:AM171)-SUM($CH171:CP171)</f>
        <v>-300</v>
      </c>
      <c r="BP171" s="3">
        <f>SUM($AE171,$AF171:AN171)-SUM($CH171:CQ171)</f>
        <v>-400</v>
      </c>
      <c r="BQ171" s="3">
        <f>SUM($AE171,$AF171:AO171)-SUM($CH171:CR171)</f>
        <v>-500</v>
      </c>
      <c r="BR171" s="3">
        <f>SUM($AE171,$AF171:AP171)-SUM($CH171:CS171)</f>
        <v>-600</v>
      </c>
      <c r="BS171" s="3">
        <f>SUM($AE171,$AF171:AQ171)-SUM($CH171:CT171)</f>
        <v>-650</v>
      </c>
      <c r="BT171" s="3">
        <f>SUM($AE171,$AF171:AR171)-SUM($CH171:CU171)</f>
        <v>-650</v>
      </c>
      <c r="BU171" s="3">
        <f>SUM($AE171,$AF171:AS171)-SUM($CH171:CV171)</f>
        <v>-650</v>
      </c>
      <c r="BV171" s="3">
        <f>SUM($AE171,$AF171:AT171)-SUM($CH171:CW171)</f>
        <v>-650</v>
      </c>
      <c r="BW171" s="3">
        <f>SUM($AE171,$AF171:AU171)-SUM($CH171:CX171)</f>
        <v>-650</v>
      </c>
      <c r="BX171" s="3">
        <f>SUM($AE171,$AF171:AV171)-SUM($CH171:CY171)</f>
        <v>-650</v>
      </c>
      <c r="BY171" s="3">
        <f>SUM($AE171,$AF171:AW171)-SUM($CH171:CZ171)</f>
        <v>-650</v>
      </c>
      <c r="BZ171" s="3">
        <f>SUM($AE171,$AF171:AX171)-SUM($CH171:DA171)</f>
        <v>-650</v>
      </c>
      <c r="CA171" s="3">
        <f>SUM($AE171,$AF171:AY171)-SUM($CH171:DB171)</f>
        <v>-650</v>
      </c>
      <c r="CB171" s="3">
        <f>SUM($AE171,$AF171:AZ171)-SUM($CH171:DC171)</f>
        <v>-650</v>
      </c>
      <c r="CC171" s="3">
        <f>SUM($AE171,$AF171:BA171)-SUM($CH171:DD171)</f>
        <v>-650</v>
      </c>
      <c r="CI171" s="3">
        <f t="array" ref="CI171">SUMPRODUCT($J171:$U171,TRANSPOSE(CI$3:CI$14))</f>
        <v>0</v>
      </c>
      <c r="CJ171" s="3">
        <f t="array" ref="CJ171">SUMPRODUCT($J171:$U171,TRANSPOSE(CJ$3:CJ$14))</f>
        <v>0</v>
      </c>
      <c r="CK171" s="3">
        <f t="array" ref="CK171">SUMPRODUCT($J171:$U171,TRANSPOSE(CK$3:CK$14))</f>
        <v>0</v>
      </c>
      <c r="CL171" s="3">
        <f t="array" ref="CL171">SUMPRODUCT($J171:$U171,TRANSPOSE(CL$3:CL$14))</f>
        <v>0</v>
      </c>
      <c r="CM171" s="3">
        <f t="array" ref="CM171">SUMPRODUCT($J171:$U171,TRANSPOSE(CM$3:CM$14))</f>
        <v>50</v>
      </c>
      <c r="CN171" s="3">
        <f t="array" ref="CN171">SUMPRODUCT($J171:$U171,TRANSPOSE(CN$3:CN$14))</f>
        <v>75</v>
      </c>
      <c r="CO171" s="3">
        <f t="array" ref="CO171">SUMPRODUCT($J171:$U171,TRANSPOSE(CO$3:CO$14))</f>
        <v>75</v>
      </c>
      <c r="CP171" s="3">
        <f t="array" ref="CP171">SUMPRODUCT($J171:$U171,TRANSPOSE(CP$3:CP$14))</f>
        <v>100</v>
      </c>
      <c r="CQ171" s="3">
        <f t="array" ref="CQ171">SUMPRODUCT($J171:$U171,TRANSPOSE(CQ$3:CQ$14))</f>
        <v>100</v>
      </c>
      <c r="CR171" s="3">
        <f t="array" ref="CR171">SUMPRODUCT($J171:$U171,TRANSPOSE(CR$3:CR$14))</f>
        <v>100</v>
      </c>
      <c r="CS171" s="3">
        <f t="array" ref="CS171">SUMPRODUCT($J171:$U171,TRANSPOSE(CS$3:CS$14))</f>
        <v>100</v>
      </c>
      <c r="CT171" s="3">
        <f t="array" ref="CT171">SUMPRODUCT($J171:$U171,TRANSPOSE(CT$3:CT$14))</f>
        <v>50</v>
      </c>
      <c r="CU171" s="3">
        <f t="array" ref="CU171">SUMPRODUCT($J171:$U171,TRANSPOSE(CU$3:CU$14))</f>
        <v>0</v>
      </c>
      <c r="CV171" s="3">
        <f t="array" ref="CV171">SUMPRODUCT($J171:$U171,TRANSPOSE(CV$3:CV$14))</f>
        <v>0</v>
      </c>
      <c r="CW171" s="3">
        <f t="array" ref="CW171">SUMPRODUCT($J171:$U171,TRANSPOSE(CW$3:CW$14))</f>
        <v>0</v>
      </c>
      <c r="CX171" s="3">
        <f t="array" ref="CX171">SUMPRODUCT($J171:$U171,TRANSPOSE(CX$3:CX$14))</f>
        <v>0</v>
      </c>
      <c r="CY171" s="3">
        <f t="array" ref="CY171">SUMPRODUCT($J171:$U171,TRANSPOSE(CY$3:CY$14))</f>
        <v>0</v>
      </c>
      <c r="CZ171" s="3">
        <f t="array" ref="CZ171">SUMPRODUCT($J171:$U171,TRANSPOSE(CZ$3:CZ$14))</f>
        <v>0</v>
      </c>
      <c r="DA171" s="3">
        <f t="array" ref="DA171">SUMPRODUCT($J171:$U171,TRANSPOSE(DA$3:DA$14))</f>
        <v>0</v>
      </c>
      <c r="DB171" s="3">
        <f t="array" ref="DB171">SUMPRODUCT($J171:$U171,TRANSPOSE(DB$3:DB$14))</f>
        <v>0</v>
      </c>
      <c r="DC171" s="3">
        <f t="array" ref="DC171">SUMPRODUCT($J171:$U171,TRANSPOSE(DC$3:DC$14))</f>
        <v>0</v>
      </c>
      <c r="DD171" s="3">
        <f t="array" ref="DD171">SUMPRODUCT($J171:$U171,TRANSPOSE(DD$3:DD$14))</f>
        <v>0</v>
      </c>
      <c r="DE171" s="3">
        <f t="array" ref="DE171">SUMPRODUCT($J171:$U171,TRANSPOSE(DE$3:DE$14))</f>
        <v>0</v>
      </c>
    </row>
    <row r="172" spans="1:109" ht="13.5" thickBot="1" x14ac:dyDescent="0.25">
      <c r="A172" s="3">
        <v>692</v>
      </c>
      <c r="B172" s="9" t="s">
        <v>673</v>
      </c>
      <c r="C172" s="3" t="s">
        <v>16</v>
      </c>
      <c r="D172" s="3">
        <v>512310459</v>
      </c>
      <c r="F172" s="3" t="s">
        <v>286</v>
      </c>
      <c r="G172" s="3" t="s">
        <v>14</v>
      </c>
      <c r="H172" s="3">
        <v>2</v>
      </c>
      <c r="I172" s="3">
        <v>4</v>
      </c>
      <c r="J172" s="3">
        <v>0</v>
      </c>
      <c r="K172" s="3">
        <v>0</v>
      </c>
      <c r="L172" s="3">
        <v>0</v>
      </c>
      <c r="M172" s="3">
        <v>0</v>
      </c>
      <c r="N172" s="3">
        <v>4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f t="shared" si="43"/>
        <v>4</v>
      </c>
      <c r="W172" s="3">
        <f t="shared" si="44"/>
        <v>520</v>
      </c>
      <c r="X172" s="6" t="s">
        <v>296</v>
      </c>
      <c r="Y172" s="3">
        <v>0.1</v>
      </c>
      <c r="Z172" s="3" t="s">
        <v>594</v>
      </c>
      <c r="AA172" s="3" t="s">
        <v>128</v>
      </c>
      <c r="AB172" s="3" t="s">
        <v>129</v>
      </c>
      <c r="AC172" s="23" t="s">
        <v>130</v>
      </c>
      <c r="BJ172" s="3">
        <f>SUM($AE172,$AF172:AH172)-SUM($CH172:CK172)</f>
        <v>0</v>
      </c>
      <c r="BK172" s="3">
        <f>SUM($AE172,$AF172:AI172)-SUM($CH172:CL172)</f>
        <v>-40</v>
      </c>
      <c r="BL172" s="3">
        <f>SUM($AE172,$AF172:AJ172)-SUM($CH172:CM172)</f>
        <v>-100</v>
      </c>
      <c r="BM172" s="3">
        <f>SUM($AE172,$AF172:AK172)-SUM($CH172:CN172)</f>
        <v>-160</v>
      </c>
      <c r="BN172" s="3">
        <f>SUM($AE172,$AF172:AL172)-SUM($CH172:CO172)</f>
        <v>-240</v>
      </c>
      <c r="BO172" s="3">
        <f>SUM($AE172,$AF172:AM172)-SUM($CH172:CP172)</f>
        <v>-320</v>
      </c>
      <c r="BP172" s="3">
        <f>SUM($AE172,$AF172:AN172)-SUM($CH172:CQ172)</f>
        <v>-400</v>
      </c>
      <c r="BQ172" s="3">
        <f>SUM($AE172,$AF172:AO172)-SUM($CH172:CR172)</f>
        <v>-480</v>
      </c>
      <c r="BR172" s="3">
        <f>SUM($AE172,$AF172:AP172)-SUM($CH172:CS172)</f>
        <v>-520</v>
      </c>
      <c r="BS172" s="3">
        <f>SUM($AE172,$AF172:AQ172)-SUM($CH172:CT172)</f>
        <v>-520</v>
      </c>
      <c r="BT172" s="3">
        <f>SUM($AE172,$AF172:AR172)-SUM($CH172:CU172)</f>
        <v>-520</v>
      </c>
      <c r="BU172" s="3">
        <f>SUM($AE172,$AF172:AS172)-SUM($CH172:CV172)</f>
        <v>-520</v>
      </c>
      <c r="BV172" s="3">
        <f>SUM($AE172,$AF172:AT172)-SUM($CH172:CW172)</f>
        <v>-520</v>
      </c>
      <c r="BW172" s="3">
        <f>SUM($AE172,$AF172:AU172)-SUM($CH172:CX172)</f>
        <v>-520</v>
      </c>
      <c r="BX172" s="3">
        <f>SUM($AE172,$AF172:AV172)-SUM($CH172:CY172)</f>
        <v>-520</v>
      </c>
      <c r="BY172" s="3">
        <f>SUM($AE172,$AF172:AW172)-SUM($CH172:CZ172)</f>
        <v>-520</v>
      </c>
      <c r="BZ172" s="3">
        <f>SUM($AE172,$AF172:AX172)-SUM($CH172:DA172)</f>
        <v>-520</v>
      </c>
      <c r="CA172" s="3">
        <f>SUM($AE172,$AF172:AY172)-SUM($CH172:DB172)</f>
        <v>-520</v>
      </c>
      <c r="CB172" s="3">
        <f>SUM($AE172,$AF172:AZ172)-SUM($CH172:DC172)</f>
        <v>-520</v>
      </c>
      <c r="CC172" s="3">
        <f>SUM($AE172,$AF172:BA172)-SUM($CH172:DD172)</f>
        <v>-520</v>
      </c>
      <c r="CI172" s="3">
        <f t="array" ref="CI172">SUMPRODUCT($J172:$U172,TRANSPOSE(CI$3:CI$14))</f>
        <v>0</v>
      </c>
      <c r="CJ172" s="3">
        <f t="array" ref="CJ172">SUMPRODUCT($J172:$U172,TRANSPOSE(CJ$3:CJ$14))</f>
        <v>0</v>
      </c>
      <c r="CK172" s="3">
        <f t="array" ref="CK172">SUMPRODUCT($J172:$U172,TRANSPOSE(CK$3:CK$14))</f>
        <v>0</v>
      </c>
      <c r="CL172" s="3">
        <f t="array" ref="CL172">SUMPRODUCT($J172:$U172,TRANSPOSE(CL$3:CL$14))</f>
        <v>40</v>
      </c>
      <c r="CM172" s="3">
        <f t="array" ref="CM172">SUMPRODUCT($J172:$U172,TRANSPOSE(CM$3:CM$14))</f>
        <v>60</v>
      </c>
      <c r="CN172" s="3">
        <f t="array" ref="CN172">SUMPRODUCT($J172:$U172,TRANSPOSE(CN$3:CN$14))</f>
        <v>60</v>
      </c>
      <c r="CO172" s="3">
        <f t="array" ref="CO172">SUMPRODUCT($J172:$U172,TRANSPOSE(CO$3:CO$14))</f>
        <v>80</v>
      </c>
      <c r="CP172" s="3">
        <f t="array" ref="CP172">SUMPRODUCT($J172:$U172,TRANSPOSE(CP$3:CP$14))</f>
        <v>80</v>
      </c>
      <c r="CQ172" s="3">
        <f t="array" ref="CQ172">SUMPRODUCT($J172:$U172,TRANSPOSE(CQ$3:CQ$14))</f>
        <v>80</v>
      </c>
      <c r="CR172" s="3">
        <f t="array" ref="CR172">SUMPRODUCT($J172:$U172,TRANSPOSE(CR$3:CR$14))</f>
        <v>80</v>
      </c>
      <c r="CS172" s="3">
        <f t="array" ref="CS172">SUMPRODUCT($J172:$U172,TRANSPOSE(CS$3:CS$14))</f>
        <v>40</v>
      </c>
      <c r="CT172" s="3">
        <f t="array" ref="CT172">SUMPRODUCT($J172:$U172,TRANSPOSE(CT$3:CT$14))</f>
        <v>0</v>
      </c>
      <c r="CU172" s="3">
        <f t="array" ref="CU172">SUMPRODUCT($J172:$U172,TRANSPOSE(CU$3:CU$14))</f>
        <v>0</v>
      </c>
      <c r="CV172" s="3">
        <f t="array" ref="CV172">SUMPRODUCT($J172:$U172,TRANSPOSE(CV$3:CV$14))</f>
        <v>0</v>
      </c>
      <c r="CW172" s="3">
        <f t="array" ref="CW172">SUMPRODUCT($J172:$U172,TRANSPOSE(CW$3:CW$14))</f>
        <v>0</v>
      </c>
      <c r="CX172" s="3">
        <f t="array" ref="CX172">SUMPRODUCT($J172:$U172,TRANSPOSE(CX$3:CX$14))</f>
        <v>0</v>
      </c>
      <c r="CY172" s="3">
        <f t="array" ref="CY172">SUMPRODUCT($J172:$U172,TRANSPOSE(CY$3:CY$14))</f>
        <v>0</v>
      </c>
      <c r="CZ172" s="3">
        <f t="array" ref="CZ172">SUMPRODUCT($J172:$U172,TRANSPOSE(CZ$3:CZ$14))</f>
        <v>0</v>
      </c>
      <c r="DA172" s="3">
        <f t="array" ref="DA172">SUMPRODUCT($J172:$U172,TRANSPOSE(DA$3:DA$14))</f>
        <v>0</v>
      </c>
      <c r="DB172" s="3">
        <f t="array" ref="DB172">SUMPRODUCT($J172:$U172,TRANSPOSE(DB$3:DB$14))</f>
        <v>0</v>
      </c>
      <c r="DC172" s="3">
        <f t="array" ref="DC172">SUMPRODUCT($J172:$U172,TRANSPOSE(DC$3:DC$14))</f>
        <v>0</v>
      </c>
      <c r="DD172" s="3">
        <f t="array" ref="DD172">SUMPRODUCT($J172:$U172,TRANSPOSE(DD$3:DD$14))</f>
        <v>0</v>
      </c>
      <c r="DE172" s="3">
        <f t="array" ref="DE172">SUMPRODUCT($J172:$U172,TRANSPOSE(DE$3:DE$14))</f>
        <v>0</v>
      </c>
    </row>
    <row r="173" spans="1:109" ht="13.5" thickBot="1" x14ac:dyDescent="0.25">
      <c r="A173" s="3">
        <v>693</v>
      </c>
      <c r="B173" s="9" t="s">
        <v>674</v>
      </c>
      <c r="C173" s="3" t="s">
        <v>16</v>
      </c>
      <c r="D173" s="3">
        <v>512314584</v>
      </c>
      <c r="F173" s="3" t="s">
        <v>286</v>
      </c>
      <c r="G173" s="3" t="s">
        <v>14</v>
      </c>
      <c r="H173" s="3">
        <v>2</v>
      </c>
      <c r="I173" s="3">
        <v>74</v>
      </c>
      <c r="J173" s="3">
        <v>0</v>
      </c>
      <c r="K173" s="3">
        <v>26</v>
      </c>
      <c r="L173" s="3">
        <v>0</v>
      </c>
      <c r="M173" s="3">
        <v>0</v>
      </c>
      <c r="N173" s="3">
        <v>24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24</v>
      </c>
      <c r="U173" s="3">
        <v>0</v>
      </c>
      <c r="V173" s="3">
        <f t="shared" si="43"/>
        <v>74</v>
      </c>
      <c r="W173" s="3">
        <f t="shared" si="44"/>
        <v>9980</v>
      </c>
      <c r="X173" s="6" t="s">
        <v>296</v>
      </c>
      <c r="Y173" s="3">
        <v>0.05</v>
      </c>
      <c r="Z173" s="3" t="s">
        <v>594</v>
      </c>
      <c r="AA173" s="3" t="s">
        <v>128</v>
      </c>
      <c r="AB173" s="3" t="s">
        <v>129</v>
      </c>
      <c r="AC173" s="23" t="s">
        <v>130</v>
      </c>
      <c r="BJ173" s="3">
        <f>SUM($AE173,$AF173:AH173)-SUM($CH173:CK173)</f>
        <v>0</v>
      </c>
      <c r="BK173" s="3">
        <f>SUM($AE173,$AF173:AI173)-SUM($CH173:CL173)</f>
        <v>-740</v>
      </c>
      <c r="BL173" s="3">
        <f>SUM($AE173,$AF173:AJ173)-SUM($CH173:CM173)</f>
        <v>-1850</v>
      </c>
      <c r="BM173" s="3">
        <f>SUM($AE173,$AF173:AK173)-SUM($CH173:CN173)</f>
        <v>-3080</v>
      </c>
      <c r="BN173" s="3">
        <f>SUM($AE173,$AF173:AL173)-SUM($CH173:CO173)</f>
        <v>-4560</v>
      </c>
      <c r="BO173" s="3">
        <f>SUM($AE173,$AF173:AM173)-SUM($CH173:CP173)</f>
        <v>-6040</v>
      </c>
      <c r="BP173" s="3">
        <f>SUM($AE173,$AF173:AN173)-SUM($CH173:CQ173)</f>
        <v>-7520</v>
      </c>
      <c r="BQ173" s="3">
        <f>SUM($AE173,$AF173:AO173)-SUM($CH173:CR173)</f>
        <v>-9000</v>
      </c>
      <c r="BR173" s="3">
        <f>SUM($AE173,$AF173:AP173)-SUM($CH173:CS173)</f>
        <v>-9980</v>
      </c>
      <c r="BS173" s="3">
        <f>SUM($AE173,$AF173:AQ173)-SUM($CH173:CT173)</f>
        <v>-9980</v>
      </c>
      <c r="BT173" s="3">
        <f>SUM($AE173,$AF173:AR173)-SUM($CH173:CU173)</f>
        <v>-9980</v>
      </c>
      <c r="BU173" s="3">
        <f>SUM($AE173,$AF173:AS173)-SUM($CH173:CV173)</f>
        <v>-9980</v>
      </c>
      <c r="BV173" s="3">
        <f>SUM($AE173,$AF173:AT173)-SUM($CH173:CW173)</f>
        <v>-9980</v>
      </c>
      <c r="BW173" s="3">
        <f>SUM($AE173,$AF173:AU173)-SUM($CH173:CX173)</f>
        <v>-9980</v>
      </c>
      <c r="BX173" s="3">
        <f>SUM($AE173,$AF173:AV173)-SUM($CH173:CY173)</f>
        <v>-9980</v>
      </c>
      <c r="BY173" s="3">
        <f>SUM($AE173,$AF173:AW173)-SUM($CH173:CZ173)</f>
        <v>-9980</v>
      </c>
      <c r="BZ173" s="3">
        <f>SUM($AE173,$AF173:AX173)-SUM($CH173:DA173)</f>
        <v>-9980</v>
      </c>
      <c r="CA173" s="3">
        <f>SUM($AE173,$AF173:AY173)-SUM($CH173:DB173)</f>
        <v>-9980</v>
      </c>
      <c r="CB173" s="3">
        <f>SUM($AE173,$AF173:AZ173)-SUM($CH173:DC173)</f>
        <v>-9980</v>
      </c>
      <c r="CC173" s="3">
        <f>SUM($AE173,$AF173:BA173)-SUM($CH173:DD173)</f>
        <v>-9980</v>
      </c>
      <c r="CI173" s="3">
        <f t="array" ref="CI173">SUMPRODUCT($J173:$U173,TRANSPOSE(CI$3:CI$14))</f>
        <v>0</v>
      </c>
      <c r="CJ173" s="3">
        <f t="array" ref="CJ173">SUMPRODUCT($J173:$U173,TRANSPOSE(CJ$3:CJ$14))</f>
        <v>0</v>
      </c>
      <c r="CK173" s="3">
        <f t="array" ref="CK173">SUMPRODUCT($J173:$U173,TRANSPOSE(CK$3:CK$14))</f>
        <v>0</v>
      </c>
      <c r="CL173" s="3">
        <f t="array" ref="CL173">SUMPRODUCT($J173:$U173,TRANSPOSE(CL$3:CL$14))</f>
        <v>740</v>
      </c>
      <c r="CM173" s="3">
        <f t="array" ref="CM173">SUMPRODUCT($J173:$U173,TRANSPOSE(CM$3:CM$14))</f>
        <v>1110</v>
      </c>
      <c r="CN173" s="3">
        <f t="array" ref="CN173">SUMPRODUCT($J173:$U173,TRANSPOSE(CN$3:CN$14))</f>
        <v>1230</v>
      </c>
      <c r="CO173" s="3">
        <f t="array" ref="CO173">SUMPRODUCT($J173:$U173,TRANSPOSE(CO$3:CO$14))</f>
        <v>1480</v>
      </c>
      <c r="CP173" s="3">
        <f t="array" ref="CP173">SUMPRODUCT($J173:$U173,TRANSPOSE(CP$3:CP$14))</f>
        <v>1480</v>
      </c>
      <c r="CQ173" s="3">
        <f t="array" ref="CQ173">SUMPRODUCT($J173:$U173,TRANSPOSE(CQ$3:CQ$14))</f>
        <v>1480</v>
      </c>
      <c r="CR173" s="3">
        <f t="array" ref="CR173">SUMPRODUCT($J173:$U173,TRANSPOSE(CR$3:CR$14))</f>
        <v>1480</v>
      </c>
      <c r="CS173" s="3">
        <f t="array" ref="CS173">SUMPRODUCT($J173:$U173,TRANSPOSE(CS$3:CS$14))</f>
        <v>980</v>
      </c>
      <c r="CT173" s="3">
        <f t="array" ref="CT173">SUMPRODUCT($J173:$U173,TRANSPOSE(CT$3:CT$14))</f>
        <v>0</v>
      </c>
      <c r="CU173" s="3">
        <f t="array" ref="CU173">SUMPRODUCT($J173:$U173,TRANSPOSE(CU$3:CU$14))</f>
        <v>0</v>
      </c>
      <c r="CV173" s="3">
        <f t="array" ref="CV173">SUMPRODUCT($J173:$U173,TRANSPOSE(CV$3:CV$14))</f>
        <v>0</v>
      </c>
      <c r="CW173" s="3">
        <f t="array" ref="CW173">SUMPRODUCT($J173:$U173,TRANSPOSE(CW$3:CW$14))</f>
        <v>0</v>
      </c>
      <c r="CX173" s="3">
        <f t="array" ref="CX173">SUMPRODUCT($J173:$U173,TRANSPOSE(CX$3:CX$14))</f>
        <v>0</v>
      </c>
      <c r="CY173" s="3">
        <f t="array" ref="CY173">SUMPRODUCT($J173:$U173,TRANSPOSE(CY$3:CY$14))</f>
        <v>0</v>
      </c>
      <c r="CZ173" s="3">
        <f t="array" ref="CZ173">SUMPRODUCT($J173:$U173,TRANSPOSE(CZ$3:CZ$14))</f>
        <v>0</v>
      </c>
      <c r="DA173" s="3">
        <f t="array" ref="DA173">SUMPRODUCT($J173:$U173,TRANSPOSE(DA$3:DA$14))</f>
        <v>0</v>
      </c>
      <c r="DB173" s="3">
        <f t="array" ref="DB173">SUMPRODUCT($J173:$U173,TRANSPOSE(DB$3:DB$14))</f>
        <v>0</v>
      </c>
      <c r="DC173" s="3">
        <f t="array" ref="DC173">SUMPRODUCT($J173:$U173,TRANSPOSE(DC$3:DC$14))</f>
        <v>0</v>
      </c>
      <c r="DD173" s="3">
        <f t="array" ref="DD173">SUMPRODUCT($J173:$U173,TRANSPOSE(DD$3:DD$14))</f>
        <v>0</v>
      </c>
      <c r="DE173" s="3">
        <f t="array" ref="DE173">SUMPRODUCT($J173:$U173,TRANSPOSE(DE$3:DE$14))</f>
        <v>0</v>
      </c>
    </row>
    <row r="174" spans="1:109" ht="13.5" thickBot="1" x14ac:dyDescent="0.25">
      <c r="A174" s="3">
        <v>694</v>
      </c>
      <c r="B174" s="9" t="s">
        <v>298</v>
      </c>
      <c r="C174" s="3" t="s">
        <v>16</v>
      </c>
      <c r="D174" s="3">
        <v>512305350</v>
      </c>
      <c r="F174" s="3" t="s">
        <v>295</v>
      </c>
      <c r="G174" s="3" t="s">
        <v>14</v>
      </c>
      <c r="H174" s="3">
        <v>2</v>
      </c>
      <c r="I174" s="3">
        <v>2</v>
      </c>
      <c r="J174" s="3">
        <v>2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f t="shared" si="43"/>
        <v>2</v>
      </c>
      <c r="W174" s="3">
        <f t="shared" si="44"/>
        <v>260</v>
      </c>
      <c r="X174" s="6" t="s">
        <v>296</v>
      </c>
      <c r="Y174" s="3">
        <v>0.15</v>
      </c>
      <c r="Z174" s="3" t="s">
        <v>594</v>
      </c>
      <c r="AA174" s="3" t="s">
        <v>128</v>
      </c>
      <c r="AB174" s="3" t="s">
        <v>129</v>
      </c>
      <c r="AC174" s="23" t="s">
        <v>130</v>
      </c>
      <c r="BJ174" s="3">
        <f>SUM($AE174,$AF174:AH174)-SUM($CH174:CK174)</f>
        <v>0</v>
      </c>
      <c r="BK174" s="3">
        <f>SUM($AE174,$AF174:AI174)-SUM($CH174:CL174)</f>
        <v>0</v>
      </c>
      <c r="BL174" s="3">
        <f>SUM($AE174,$AF174:AJ174)-SUM($CH174:CM174)</f>
        <v>-20</v>
      </c>
      <c r="BM174" s="3">
        <f>SUM($AE174,$AF174:AK174)-SUM($CH174:CN174)</f>
        <v>-50</v>
      </c>
      <c r="BN174" s="3">
        <f>SUM($AE174,$AF174:AL174)-SUM($CH174:CO174)</f>
        <v>-80</v>
      </c>
      <c r="BO174" s="3">
        <f>SUM($AE174,$AF174:AM174)-SUM($CH174:CP174)</f>
        <v>-120</v>
      </c>
      <c r="BP174" s="3">
        <f>SUM($AE174,$AF174:AN174)-SUM($CH174:CQ174)</f>
        <v>-160</v>
      </c>
      <c r="BQ174" s="3">
        <f>SUM($AE174,$AF174:AO174)-SUM($CH174:CR174)</f>
        <v>-200</v>
      </c>
      <c r="BR174" s="3">
        <f>SUM($AE174,$AF174:AP174)-SUM($CH174:CS174)</f>
        <v>-240</v>
      </c>
      <c r="BS174" s="3">
        <f>SUM($AE174,$AF174:AQ174)-SUM($CH174:CT174)</f>
        <v>-260</v>
      </c>
      <c r="BT174" s="3">
        <f>SUM($AE174,$AF174:AR174)-SUM($CH174:CU174)</f>
        <v>-260</v>
      </c>
      <c r="BU174" s="3">
        <f>SUM($AE174,$AF174:AS174)-SUM($CH174:CV174)</f>
        <v>-260</v>
      </c>
      <c r="BV174" s="3">
        <f>SUM($AE174,$AF174:AT174)-SUM($CH174:CW174)</f>
        <v>-260</v>
      </c>
      <c r="BW174" s="3">
        <f>SUM($AE174,$AF174:AU174)-SUM($CH174:CX174)</f>
        <v>-260</v>
      </c>
      <c r="BX174" s="3">
        <f>SUM($AE174,$AF174:AV174)-SUM($CH174:CY174)</f>
        <v>-260</v>
      </c>
      <c r="BY174" s="3">
        <f>SUM($AE174,$AF174:AW174)-SUM($CH174:CZ174)</f>
        <v>-260</v>
      </c>
      <c r="BZ174" s="3">
        <f>SUM($AE174,$AF174:AX174)-SUM($CH174:DA174)</f>
        <v>-260</v>
      </c>
      <c r="CA174" s="3">
        <f>SUM($AE174,$AF174:AY174)-SUM($CH174:DB174)</f>
        <v>-260</v>
      </c>
      <c r="CB174" s="3">
        <f>SUM($AE174,$AF174:AZ174)-SUM($CH174:DC174)</f>
        <v>-260</v>
      </c>
      <c r="CC174" s="3">
        <f>SUM($AE174,$AF174:BA174)-SUM($CH174:DD174)</f>
        <v>-260</v>
      </c>
      <c r="CI174" s="3">
        <f t="array" ref="CI174">SUMPRODUCT($J174:$U174,TRANSPOSE(CI$3:CI$14))</f>
        <v>0</v>
      </c>
      <c r="CJ174" s="3">
        <f t="array" ref="CJ174">SUMPRODUCT($J174:$U174,TRANSPOSE(CJ$3:CJ$14))</f>
        <v>0</v>
      </c>
      <c r="CK174" s="3">
        <f t="array" ref="CK174">SUMPRODUCT($J174:$U174,TRANSPOSE(CK$3:CK$14))</f>
        <v>0</v>
      </c>
      <c r="CL174" s="3">
        <f t="array" ref="CL174">SUMPRODUCT($J174:$U174,TRANSPOSE(CL$3:CL$14))</f>
        <v>0</v>
      </c>
      <c r="CM174" s="3">
        <f t="array" ref="CM174">SUMPRODUCT($J174:$U174,TRANSPOSE(CM$3:CM$14))</f>
        <v>20</v>
      </c>
      <c r="CN174" s="3">
        <f t="array" ref="CN174">SUMPRODUCT($J174:$U174,TRANSPOSE(CN$3:CN$14))</f>
        <v>30</v>
      </c>
      <c r="CO174" s="3">
        <f t="array" ref="CO174">SUMPRODUCT($J174:$U174,TRANSPOSE(CO$3:CO$14))</f>
        <v>30</v>
      </c>
      <c r="CP174" s="3">
        <f t="array" ref="CP174">SUMPRODUCT($J174:$U174,TRANSPOSE(CP$3:CP$14))</f>
        <v>40</v>
      </c>
      <c r="CQ174" s="3">
        <f t="array" ref="CQ174">SUMPRODUCT($J174:$U174,TRANSPOSE(CQ$3:CQ$14))</f>
        <v>40</v>
      </c>
      <c r="CR174" s="3">
        <f t="array" ref="CR174">SUMPRODUCT($J174:$U174,TRANSPOSE(CR$3:CR$14))</f>
        <v>40</v>
      </c>
      <c r="CS174" s="3">
        <f t="array" ref="CS174">SUMPRODUCT($J174:$U174,TRANSPOSE(CS$3:CS$14))</f>
        <v>40</v>
      </c>
      <c r="CT174" s="3">
        <f t="array" ref="CT174">SUMPRODUCT($J174:$U174,TRANSPOSE(CT$3:CT$14))</f>
        <v>20</v>
      </c>
      <c r="CU174" s="3">
        <f t="array" ref="CU174">SUMPRODUCT($J174:$U174,TRANSPOSE(CU$3:CU$14))</f>
        <v>0</v>
      </c>
      <c r="CV174" s="3">
        <f t="array" ref="CV174">SUMPRODUCT($J174:$U174,TRANSPOSE(CV$3:CV$14))</f>
        <v>0</v>
      </c>
      <c r="CW174" s="3">
        <f t="array" ref="CW174">SUMPRODUCT($J174:$U174,TRANSPOSE(CW$3:CW$14))</f>
        <v>0</v>
      </c>
      <c r="CX174" s="3">
        <f t="array" ref="CX174">SUMPRODUCT($J174:$U174,TRANSPOSE(CX$3:CX$14))</f>
        <v>0</v>
      </c>
      <c r="CY174" s="3">
        <f t="array" ref="CY174">SUMPRODUCT($J174:$U174,TRANSPOSE(CY$3:CY$14))</f>
        <v>0</v>
      </c>
      <c r="CZ174" s="3">
        <f t="array" ref="CZ174">SUMPRODUCT($J174:$U174,TRANSPOSE(CZ$3:CZ$14))</f>
        <v>0</v>
      </c>
      <c r="DA174" s="3">
        <f t="array" ref="DA174">SUMPRODUCT($J174:$U174,TRANSPOSE(DA$3:DA$14))</f>
        <v>0</v>
      </c>
      <c r="DB174" s="3">
        <f t="array" ref="DB174">SUMPRODUCT($J174:$U174,TRANSPOSE(DB$3:DB$14))</f>
        <v>0</v>
      </c>
      <c r="DC174" s="3">
        <f t="array" ref="DC174">SUMPRODUCT($J174:$U174,TRANSPOSE(DC$3:DC$14))</f>
        <v>0</v>
      </c>
      <c r="DD174" s="3">
        <f t="array" ref="DD174">SUMPRODUCT($J174:$U174,TRANSPOSE(DD$3:DD$14))</f>
        <v>0</v>
      </c>
      <c r="DE174" s="3">
        <f t="array" ref="DE174">SUMPRODUCT($J174:$U174,TRANSPOSE(DE$3:DE$14))</f>
        <v>0</v>
      </c>
    </row>
    <row r="175" spans="1:109" ht="13.5" thickBot="1" x14ac:dyDescent="0.25">
      <c r="A175" s="3">
        <v>695</v>
      </c>
      <c r="B175" s="9" t="s">
        <v>299</v>
      </c>
      <c r="C175" s="3" t="s">
        <v>16</v>
      </c>
      <c r="D175" s="3">
        <v>512308669</v>
      </c>
      <c r="F175" s="3" t="s">
        <v>286</v>
      </c>
      <c r="G175" s="3" t="s">
        <v>14</v>
      </c>
      <c r="H175" s="3">
        <v>2</v>
      </c>
      <c r="I175" s="3">
        <v>318</v>
      </c>
      <c r="J175" s="3">
        <v>0</v>
      </c>
      <c r="K175" s="3">
        <v>22</v>
      </c>
      <c r="L175" s="3">
        <v>0</v>
      </c>
      <c r="M175" s="3">
        <v>0</v>
      </c>
      <c r="N175" s="3">
        <v>26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f t="shared" ref="V175:V205" si="45">SUM(J175:U175)</f>
        <v>48</v>
      </c>
      <c r="W175" s="3">
        <f t="shared" si="44"/>
        <v>6240</v>
      </c>
      <c r="X175" s="6" t="s">
        <v>296</v>
      </c>
      <c r="Y175" s="3">
        <v>4.4999999999999998E-2</v>
      </c>
      <c r="Z175" s="3" t="s">
        <v>594</v>
      </c>
      <c r="AA175" s="3" t="s">
        <v>128</v>
      </c>
      <c r="AB175" s="3" t="s">
        <v>129</v>
      </c>
      <c r="AC175" s="23" t="s">
        <v>130</v>
      </c>
      <c r="BJ175" s="3">
        <f>SUM($AE175,$AF175:AH175)-SUM($CH175:CK175)</f>
        <v>0</v>
      </c>
      <c r="BK175" s="3">
        <f>SUM($AE175,$AF175:AI175)-SUM($CH175:CL175)</f>
        <v>-480</v>
      </c>
      <c r="BL175" s="3">
        <f>SUM($AE175,$AF175:AJ175)-SUM($CH175:CM175)</f>
        <v>-1200</v>
      </c>
      <c r="BM175" s="3">
        <f>SUM($AE175,$AF175:AK175)-SUM($CH175:CN175)</f>
        <v>-1920</v>
      </c>
      <c r="BN175" s="3">
        <f>SUM($AE175,$AF175:AL175)-SUM($CH175:CO175)</f>
        <v>-2880</v>
      </c>
      <c r="BO175" s="3">
        <f>SUM($AE175,$AF175:AM175)-SUM($CH175:CP175)</f>
        <v>-3840</v>
      </c>
      <c r="BP175" s="3">
        <f>SUM($AE175,$AF175:AN175)-SUM($CH175:CQ175)</f>
        <v>-4800</v>
      </c>
      <c r="BQ175" s="3">
        <f>SUM($AE175,$AF175:AO175)-SUM($CH175:CR175)</f>
        <v>-5760</v>
      </c>
      <c r="BR175" s="3">
        <f>SUM($AE175,$AF175:AP175)-SUM($CH175:CS175)</f>
        <v>-6240</v>
      </c>
      <c r="BS175" s="3">
        <f>SUM($AE175,$AF175:AQ175)-SUM($CH175:CT175)</f>
        <v>-6240</v>
      </c>
      <c r="BT175" s="3">
        <f>SUM($AE175,$AF175:AR175)-SUM($CH175:CU175)</f>
        <v>-6240</v>
      </c>
      <c r="BU175" s="3">
        <f>SUM($AE175,$AF175:AS175)-SUM($CH175:CV175)</f>
        <v>-6240</v>
      </c>
      <c r="BV175" s="3">
        <f>SUM($AE175,$AF175:AT175)-SUM($CH175:CW175)</f>
        <v>-6240</v>
      </c>
      <c r="BW175" s="3">
        <f>SUM($AE175,$AF175:AU175)-SUM($CH175:CX175)</f>
        <v>-6240</v>
      </c>
      <c r="BX175" s="3">
        <f>SUM($AE175,$AF175:AV175)-SUM($CH175:CY175)</f>
        <v>-6240</v>
      </c>
      <c r="BY175" s="3">
        <f>SUM($AE175,$AF175:AW175)-SUM($CH175:CZ175)</f>
        <v>-6240</v>
      </c>
      <c r="BZ175" s="3">
        <f>SUM($AE175,$AF175:AX175)-SUM($CH175:DA175)</f>
        <v>-6240</v>
      </c>
      <c r="CA175" s="3">
        <f>SUM($AE175,$AF175:AY175)-SUM($CH175:DB175)</f>
        <v>-6240</v>
      </c>
      <c r="CB175" s="3">
        <f>SUM($AE175,$AF175:AZ175)-SUM($CH175:DC175)</f>
        <v>-6240</v>
      </c>
      <c r="CC175" s="3">
        <f>SUM($AE175,$AF175:BA175)-SUM($CH175:DD175)</f>
        <v>-6240</v>
      </c>
      <c r="CI175" s="3">
        <f t="array" ref="CI175">SUMPRODUCT($J175:$U175,TRANSPOSE(CI$3:CI$14))</f>
        <v>0</v>
      </c>
      <c r="CJ175" s="3">
        <f t="array" ref="CJ175">SUMPRODUCT($J175:$U175,TRANSPOSE(CJ$3:CJ$14))</f>
        <v>0</v>
      </c>
      <c r="CK175" s="3">
        <f t="array" ref="CK175">SUMPRODUCT($J175:$U175,TRANSPOSE(CK$3:CK$14))</f>
        <v>0</v>
      </c>
      <c r="CL175" s="3">
        <f t="array" ref="CL175">SUMPRODUCT($J175:$U175,TRANSPOSE(CL$3:CL$14))</f>
        <v>480</v>
      </c>
      <c r="CM175" s="3">
        <f t="array" ref="CM175">SUMPRODUCT($J175:$U175,TRANSPOSE(CM$3:CM$14))</f>
        <v>720</v>
      </c>
      <c r="CN175" s="3">
        <f t="array" ref="CN175">SUMPRODUCT($J175:$U175,TRANSPOSE(CN$3:CN$14))</f>
        <v>720</v>
      </c>
      <c r="CO175" s="3">
        <f t="array" ref="CO175">SUMPRODUCT($J175:$U175,TRANSPOSE(CO$3:CO$14))</f>
        <v>960</v>
      </c>
      <c r="CP175" s="3">
        <f t="array" ref="CP175">SUMPRODUCT($J175:$U175,TRANSPOSE(CP$3:CP$14))</f>
        <v>960</v>
      </c>
      <c r="CQ175" s="3">
        <f t="array" ref="CQ175">SUMPRODUCT($J175:$U175,TRANSPOSE(CQ$3:CQ$14))</f>
        <v>960</v>
      </c>
      <c r="CR175" s="3">
        <f t="array" ref="CR175">SUMPRODUCT($J175:$U175,TRANSPOSE(CR$3:CR$14))</f>
        <v>960</v>
      </c>
      <c r="CS175" s="3">
        <f t="array" ref="CS175">SUMPRODUCT($J175:$U175,TRANSPOSE(CS$3:CS$14))</f>
        <v>480</v>
      </c>
      <c r="CT175" s="3">
        <f t="array" ref="CT175">SUMPRODUCT($J175:$U175,TRANSPOSE(CT$3:CT$14))</f>
        <v>0</v>
      </c>
      <c r="CU175" s="3">
        <f t="array" ref="CU175">SUMPRODUCT($J175:$U175,TRANSPOSE(CU$3:CU$14))</f>
        <v>0</v>
      </c>
      <c r="CV175" s="3">
        <f t="array" ref="CV175">SUMPRODUCT($J175:$U175,TRANSPOSE(CV$3:CV$14))</f>
        <v>0</v>
      </c>
      <c r="CW175" s="3">
        <f t="array" ref="CW175">SUMPRODUCT($J175:$U175,TRANSPOSE(CW$3:CW$14))</f>
        <v>0</v>
      </c>
      <c r="CX175" s="3">
        <f t="array" ref="CX175">SUMPRODUCT($J175:$U175,TRANSPOSE(CX$3:CX$14))</f>
        <v>0</v>
      </c>
      <c r="CY175" s="3">
        <f t="array" ref="CY175">SUMPRODUCT($J175:$U175,TRANSPOSE(CY$3:CY$14))</f>
        <v>0</v>
      </c>
      <c r="CZ175" s="3">
        <f t="array" ref="CZ175">SUMPRODUCT($J175:$U175,TRANSPOSE(CZ$3:CZ$14))</f>
        <v>0</v>
      </c>
      <c r="DA175" s="3">
        <f t="array" ref="DA175">SUMPRODUCT($J175:$U175,TRANSPOSE(DA$3:DA$14))</f>
        <v>0</v>
      </c>
      <c r="DB175" s="3">
        <f t="array" ref="DB175">SUMPRODUCT($J175:$U175,TRANSPOSE(DB$3:DB$14))</f>
        <v>0</v>
      </c>
      <c r="DC175" s="3">
        <f t="array" ref="DC175">SUMPRODUCT($J175:$U175,TRANSPOSE(DC$3:DC$14))</f>
        <v>0</v>
      </c>
      <c r="DD175" s="3">
        <f t="array" ref="DD175">SUMPRODUCT($J175:$U175,TRANSPOSE(DD$3:DD$14))</f>
        <v>0</v>
      </c>
      <c r="DE175" s="3">
        <f t="array" ref="DE175">SUMPRODUCT($J175:$U175,TRANSPOSE(DE$3:DE$14))</f>
        <v>0</v>
      </c>
    </row>
    <row r="176" spans="1:109" ht="13.5" thickBot="1" x14ac:dyDescent="0.25">
      <c r="A176" s="3">
        <v>696</v>
      </c>
      <c r="B176" s="9" t="s">
        <v>675</v>
      </c>
      <c r="C176" s="3" t="s">
        <v>16</v>
      </c>
      <c r="D176" s="3">
        <v>512314592</v>
      </c>
      <c r="F176" s="3" t="s">
        <v>295</v>
      </c>
      <c r="G176" s="3" t="s">
        <v>14</v>
      </c>
      <c r="H176" s="3">
        <v>2</v>
      </c>
      <c r="I176" s="3">
        <v>24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24</v>
      </c>
      <c r="U176" s="3">
        <v>0</v>
      </c>
      <c r="V176" s="3">
        <f t="shared" si="45"/>
        <v>24</v>
      </c>
      <c r="W176" s="3">
        <f t="shared" si="44"/>
        <v>3480</v>
      </c>
      <c r="X176" s="6" t="s">
        <v>296</v>
      </c>
      <c r="Y176" s="3">
        <v>0.09</v>
      </c>
      <c r="Z176" s="3" t="s">
        <v>594</v>
      </c>
      <c r="AA176" s="3" t="s">
        <v>128</v>
      </c>
      <c r="AB176" s="3" t="s">
        <v>129</v>
      </c>
      <c r="AC176" s="23" t="s">
        <v>130</v>
      </c>
      <c r="BJ176" s="3">
        <f>SUM($AE176,$AF176:AH176)-SUM($CH176:CK176)</f>
        <v>0</v>
      </c>
      <c r="BK176" s="3">
        <f>SUM($AE176,$AF176:AI176)-SUM($CH176:CL176)</f>
        <v>-240</v>
      </c>
      <c r="BL176" s="3">
        <f>SUM($AE176,$AF176:AJ176)-SUM($CH176:CM176)</f>
        <v>-600</v>
      </c>
      <c r="BM176" s="3">
        <f>SUM($AE176,$AF176:AK176)-SUM($CH176:CN176)</f>
        <v>-1080</v>
      </c>
      <c r="BN176" s="3">
        <f>SUM($AE176,$AF176:AL176)-SUM($CH176:CO176)</f>
        <v>-1560</v>
      </c>
      <c r="BO176" s="3">
        <f>SUM($AE176,$AF176:AM176)-SUM($CH176:CP176)</f>
        <v>-2040</v>
      </c>
      <c r="BP176" s="3">
        <f>SUM($AE176,$AF176:AN176)-SUM($CH176:CQ176)</f>
        <v>-2520</v>
      </c>
      <c r="BQ176" s="3">
        <f>SUM($AE176,$AF176:AO176)-SUM($CH176:CR176)</f>
        <v>-3000</v>
      </c>
      <c r="BR176" s="3">
        <f>SUM($AE176,$AF176:AP176)-SUM($CH176:CS176)</f>
        <v>-3480</v>
      </c>
      <c r="BS176" s="3">
        <f>SUM($AE176,$AF176:AQ176)-SUM($CH176:CT176)</f>
        <v>-3480</v>
      </c>
      <c r="BT176" s="3">
        <f>SUM($AE176,$AF176:AR176)-SUM($CH176:CU176)</f>
        <v>-3480</v>
      </c>
      <c r="BU176" s="3">
        <f>SUM($AE176,$AF176:AS176)-SUM($CH176:CV176)</f>
        <v>-3480</v>
      </c>
      <c r="BV176" s="3">
        <f>SUM($AE176,$AF176:AT176)-SUM($CH176:CW176)</f>
        <v>-3480</v>
      </c>
      <c r="BW176" s="3">
        <f>SUM($AE176,$AF176:AU176)-SUM($CH176:CX176)</f>
        <v>-3480</v>
      </c>
      <c r="BX176" s="3">
        <f>SUM($AE176,$AF176:AV176)-SUM($CH176:CY176)</f>
        <v>-3480</v>
      </c>
      <c r="BY176" s="3">
        <f>SUM($AE176,$AF176:AW176)-SUM($CH176:CZ176)</f>
        <v>-3480</v>
      </c>
      <c r="BZ176" s="3">
        <f>SUM($AE176,$AF176:AX176)-SUM($CH176:DA176)</f>
        <v>-3480</v>
      </c>
      <c r="CA176" s="3">
        <f>SUM($AE176,$AF176:AY176)-SUM($CH176:DB176)</f>
        <v>-3480</v>
      </c>
      <c r="CB176" s="3">
        <f>SUM($AE176,$AF176:AZ176)-SUM($CH176:DC176)</f>
        <v>-3480</v>
      </c>
      <c r="CC176" s="3">
        <f>SUM($AE176,$AF176:BA176)-SUM($CH176:DD176)</f>
        <v>-3480</v>
      </c>
      <c r="CI176" s="3">
        <f t="array" ref="CI176">SUMPRODUCT($J176:$U176,TRANSPOSE(CI$3:CI$14))</f>
        <v>0</v>
      </c>
      <c r="CJ176" s="3">
        <f t="array" ref="CJ176">SUMPRODUCT($J176:$U176,TRANSPOSE(CJ$3:CJ$14))</f>
        <v>0</v>
      </c>
      <c r="CK176" s="3">
        <f t="array" ref="CK176">SUMPRODUCT($J176:$U176,TRANSPOSE(CK$3:CK$14))</f>
        <v>0</v>
      </c>
      <c r="CL176" s="3">
        <f t="array" ref="CL176">SUMPRODUCT($J176:$U176,TRANSPOSE(CL$3:CL$14))</f>
        <v>240</v>
      </c>
      <c r="CM176" s="3">
        <f t="array" ref="CM176">SUMPRODUCT($J176:$U176,TRANSPOSE(CM$3:CM$14))</f>
        <v>360</v>
      </c>
      <c r="CN176" s="3">
        <f t="array" ref="CN176">SUMPRODUCT($J176:$U176,TRANSPOSE(CN$3:CN$14))</f>
        <v>480</v>
      </c>
      <c r="CO176" s="3">
        <f t="array" ref="CO176">SUMPRODUCT($J176:$U176,TRANSPOSE(CO$3:CO$14))</f>
        <v>480</v>
      </c>
      <c r="CP176" s="3">
        <f t="array" ref="CP176">SUMPRODUCT($J176:$U176,TRANSPOSE(CP$3:CP$14))</f>
        <v>480</v>
      </c>
      <c r="CQ176" s="3">
        <f t="array" ref="CQ176">SUMPRODUCT($J176:$U176,TRANSPOSE(CQ$3:CQ$14))</f>
        <v>480</v>
      </c>
      <c r="CR176" s="3">
        <f t="array" ref="CR176">SUMPRODUCT($J176:$U176,TRANSPOSE(CR$3:CR$14))</f>
        <v>480</v>
      </c>
      <c r="CS176" s="3">
        <f t="array" ref="CS176">SUMPRODUCT($J176:$U176,TRANSPOSE(CS$3:CS$14))</f>
        <v>480</v>
      </c>
      <c r="CT176" s="3">
        <f t="array" ref="CT176">SUMPRODUCT($J176:$U176,TRANSPOSE(CT$3:CT$14))</f>
        <v>0</v>
      </c>
      <c r="CU176" s="3">
        <f t="array" ref="CU176">SUMPRODUCT($J176:$U176,TRANSPOSE(CU$3:CU$14))</f>
        <v>0</v>
      </c>
      <c r="CV176" s="3">
        <f t="array" ref="CV176">SUMPRODUCT($J176:$U176,TRANSPOSE(CV$3:CV$14))</f>
        <v>0</v>
      </c>
      <c r="CW176" s="3">
        <f t="array" ref="CW176">SUMPRODUCT($J176:$U176,TRANSPOSE(CW$3:CW$14))</f>
        <v>0</v>
      </c>
      <c r="CX176" s="3">
        <f t="array" ref="CX176">SUMPRODUCT($J176:$U176,TRANSPOSE(CX$3:CX$14))</f>
        <v>0</v>
      </c>
      <c r="CY176" s="3">
        <f t="array" ref="CY176">SUMPRODUCT($J176:$U176,TRANSPOSE(CY$3:CY$14))</f>
        <v>0</v>
      </c>
      <c r="CZ176" s="3">
        <f t="array" ref="CZ176">SUMPRODUCT($J176:$U176,TRANSPOSE(CZ$3:CZ$14))</f>
        <v>0</v>
      </c>
      <c r="DA176" s="3">
        <f t="array" ref="DA176">SUMPRODUCT($J176:$U176,TRANSPOSE(DA$3:DA$14))</f>
        <v>0</v>
      </c>
      <c r="DB176" s="3">
        <f t="array" ref="DB176">SUMPRODUCT($J176:$U176,TRANSPOSE(DB$3:DB$14))</f>
        <v>0</v>
      </c>
      <c r="DC176" s="3">
        <f t="array" ref="DC176">SUMPRODUCT($J176:$U176,TRANSPOSE(DC$3:DC$14))</f>
        <v>0</v>
      </c>
      <c r="DD176" s="3">
        <f t="array" ref="DD176">SUMPRODUCT($J176:$U176,TRANSPOSE(DD$3:DD$14))</f>
        <v>0</v>
      </c>
      <c r="DE176" s="3">
        <f t="array" ref="DE176">SUMPRODUCT($J176:$U176,TRANSPOSE(DE$3:DE$14))</f>
        <v>0</v>
      </c>
    </row>
    <row r="177" spans="1:109" ht="13.5" thickBot="1" x14ac:dyDescent="0.25">
      <c r="A177" s="3">
        <v>697</v>
      </c>
      <c r="B177" s="9" t="s">
        <v>676</v>
      </c>
      <c r="C177" s="3" t="s">
        <v>16</v>
      </c>
      <c r="D177" s="3">
        <v>512308677</v>
      </c>
      <c r="F177" s="3" t="s">
        <v>286</v>
      </c>
      <c r="G177" s="3" t="s">
        <v>14</v>
      </c>
      <c r="H177" s="3">
        <v>2</v>
      </c>
      <c r="I177" s="3">
        <v>24</v>
      </c>
      <c r="J177" s="3">
        <v>0</v>
      </c>
      <c r="K177" s="3">
        <v>10</v>
      </c>
      <c r="L177" s="3">
        <v>0</v>
      </c>
      <c r="M177" s="3">
        <v>0</v>
      </c>
      <c r="N177" s="3">
        <v>6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f t="shared" si="45"/>
        <v>16</v>
      </c>
      <c r="W177" s="3">
        <f t="shared" si="44"/>
        <v>2080</v>
      </c>
      <c r="X177" s="6" t="s">
        <v>296</v>
      </c>
      <c r="Y177" s="3">
        <v>3.5499999999999997E-2</v>
      </c>
      <c r="Z177" s="3" t="s">
        <v>594</v>
      </c>
      <c r="AA177" s="3" t="s">
        <v>128</v>
      </c>
      <c r="AB177" s="3" t="s">
        <v>129</v>
      </c>
      <c r="AC177" s="23" t="s">
        <v>130</v>
      </c>
      <c r="BJ177" s="3">
        <f>SUM($AE177,$AF177:AH177)-SUM($CH177:CK177)</f>
        <v>0</v>
      </c>
      <c r="BK177" s="3">
        <f>SUM($AE177,$AF177:AI177)-SUM($CH177:CL177)</f>
        <v>-160</v>
      </c>
      <c r="BL177" s="3">
        <f>SUM($AE177,$AF177:AJ177)-SUM($CH177:CM177)</f>
        <v>-400</v>
      </c>
      <c r="BM177" s="3">
        <f>SUM($AE177,$AF177:AK177)-SUM($CH177:CN177)</f>
        <v>-640</v>
      </c>
      <c r="BN177" s="3">
        <f>SUM($AE177,$AF177:AL177)-SUM($CH177:CO177)</f>
        <v>-960</v>
      </c>
      <c r="BO177" s="3">
        <f>SUM($AE177,$AF177:AM177)-SUM($CH177:CP177)</f>
        <v>-1280</v>
      </c>
      <c r="BP177" s="3">
        <f>SUM($AE177,$AF177:AN177)-SUM($CH177:CQ177)</f>
        <v>-1600</v>
      </c>
      <c r="BQ177" s="3">
        <f>SUM($AE177,$AF177:AO177)-SUM($CH177:CR177)</f>
        <v>-1920</v>
      </c>
      <c r="BR177" s="3">
        <f>SUM($AE177,$AF177:AP177)-SUM($CH177:CS177)</f>
        <v>-2080</v>
      </c>
      <c r="BS177" s="3">
        <f>SUM($AE177,$AF177:AQ177)-SUM($CH177:CT177)</f>
        <v>-2080</v>
      </c>
      <c r="BT177" s="3">
        <f>SUM($AE177,$AF177:AR177)-SUM($CH177:CU177)</f>
        <v>-2080</v>
      </c>
      <c r="BU177" s="3">
        <f>SUM($AE177,$AF177:AS177)-SUM($CH177:CV177)</f>
        <v>-2080</v>
      </c>
      <c r="BV177" s="3">
        <f>SUM($AE177,$AF177:AT177)-SUM($CH177:CW177)</f>
        <v>-2080</v>
      </c>
      <c r="BW177" s="3">
        <f>SUM($AE177,$AF177:AU177)-SUM($CH177:CX177)</f>
        <v>-2080</v>
      </c>
      <c r="BX177" s="3">
        <f>SUM($AE177,$AF177:AV177)-SUM($CH177:CY177)</f>
        <v>-2080</v>
      </c>
      <c r="BY177" s="3">
        <f>SUM($AE177,$AF177:AW177)-SUM($CH177:CZ177)</f>
        <v>-2080</v>
      </c>
      <c r="BZ177" s="3">
        <f>SUM($AE177,$AF177:AX177)-SUM($CH177:DA177)</f>
        <v>-2080</v>
      </c>
      <c r="CA177" s="3">
        <f>SUM($AE177,$AF177:AY177)-SUM($CH177:DB177)</f>
        <v>-2080</v>
      </c>
      <c r="CB177" s="3">
        <f>SUM($AE177,$AF177:AZ177)-SUM($CH177:DC177)</f>
        <v>-2080</v>
      </c>
      <c r="CC177" s="3">
        <f>SUM($AE177,$AF177:BA177)-SUM($CH177:DD177)</f>
        <v>-2080</v>
      </c>
      <c r="CI177" s="3">
        <f t="array" ref="CI177">SUMPRODUCT($J177:$U177,TRANSPOSE(CI$3:CI$14))</f>
        <v>0</v>
      </c>
      <c r="CJ177" s="3">
        <f t="array" ref="CJ177">SUMPRODUCT($J177:$U177,TRANSPOSE(CJ$3:CJ$14))</f>
        <v>0</v>
      </c>
      <c r="CK177" s="3">
        <f t="array" ref="CK177">SUMPRODUCT($J177:$U177,TRANSPOSE(CK$3:CK$14))</f>
        <v>0</v>
      </c>
      <c r="CL177" s="3">
        <f t="array" ref="CL177">SUMPRODUCT($J177:$U177,TRANSPOSE(CL$3:CL$14))</f>
        <v>160</v>
      </c>
      <c r="CM177" s="3">
        <f t="array" ref="CM177">SUMPRODUCT($J177:$U177,TRANSPOSE(CM$3:CM$14))</f>
        <v>240</v>
      </c>
      <c r="CN177" s="3">
        <f t="array" ref="CN177">SUMPRODUCT($J177:$U177,TRANSPOSE(CN$3:CN$14))</f>
        <v>240</v>
      </c>
      <c r="CO177" s="3">
        <f t="array" ref="CO177">SUMPRODUCT($J177:$U177,TRANSPOSE(CO$3:CO$14))</f>
        <v>320</v>
      </c>
      <c r="CP177" s="3">
        <f t="array" ref="CP177">SUMPRODUCT($J177:$U177,TRANSPOSE(CP$3:CP$14))</f>
        <v>320</v>
      </c>
      <c r="CQ177" s="3">
        <f t="array" ref="CQ177">SUMPRODUCT($J177:$U177,TRANSPOSE(CQ$3:CQ$14))</f>
        <v>320</v>
      </c>
      <c r="CR177" s="3">
        <f t="array" ref="CR177">SUMPRODUCT($J177:$U177,TRANSPOSE(CR$3:CR$14))</f>
        <v>320</v>
      </c>
      <c r="CS177" s="3">
        <f t="array" ref="CS177">SUMPRODUCT($J177:$U177,TRANSPOSE(CS$3:CS$14))</f>
        <v>160</v>
      </c>
      <c r="CT177" s="3">
        <f t="array" ref="CT177">SUMPRODUCT($J177:$U177,TRANSPOSE(CT$3:CT$14))</f>
        <v>0</v>
      </c>
      <c r="CU177" s="3">
        <f t="array" ref="CU177">SUMPRODUCT($J177:$U177,TRANSPOSE(CU$3:CU$14))</f>
        <v>0</v>
      </c>
      <c r="CV177" s="3">
        <f t="array" ref="CV177">SUMPRODUCT($J177:$U177,TRANSPOSE(CV$3:CV$14))</f>
        <v>0</v>
      </c>
      <c r="CW177" s="3">
        <f t="array" ref="CW177">SUMPRODUCT($J177:$U177,TRANSPOSE(CW$3:CW$14))</f>
        <v>0</v>
      </c>
      <c r="CX177" s="3">
        <f t="array" ref="CX177">SUMPRODUCT($J177:$U177,TRANSPOSE(CX$3:CX$14))</f>
        <v>0</v>
      </c>
      <c r="CY177" s="3">
        <f t="array" ref="CY177">SUMPRODUCT($J177:$U177,TRANSPOSE(CY$3:CY$14))</f>
        <v>0</v>
      </c>
      <c r="CZ177" s="3">
        <f t="array" ref="CZ177">SUMPRODUCT($J177:$U177,TRANSPOSE(CZ$3:CZ$14))</f>
        <v>0</v>
      </c>
      <c r="DA177" s="3">
        <f t="array" ref="DA177">SUMPRODUCT($J177:$U177,TRANSPOSE(DA$3:DA$14))</f>
        <v>0</v>
      </c>
      <c r="DB177" s="3">
        <f t="array" ref="DB177">SUMPRODUCT($J177:$U177,TRANSPOSE(DB$3:DB$14))</f>
        <v>0</v>
      </c>
      <c r="DC177" s="3">
        <f t="array" ref="DC177">SUMPRODUCT($J177:$U177,TRANSPOSE(DC$3:DC$14))</f>
        <v>0</v>
      </c>
      <c r="DD177" s="3">
        <f t="array" ref="DD177">SUMPRODUCT($J177:$U177,TRANSPOSE(DD$3:DD$14))</f>
        <v>0</v>
      </c>
      <c r="DE177" s="3">
        <f t="array" ref="DE177">SUMPRODUCT($J177:$U177,TRANSPOSE(DE$3:DE$14))</f>
        <v>0</v>
      </c>
    </row>
    <row r="178" spans="1:109" ht="13.5" thickBot="1" x14ac:dyDescent="0.25">
      <c r="A178" s="3">
        <v>699</v>
      </c>
      <c r="B178" s="9" t="s">
        <v>677</v>
      </c>
      <c r="C178" s="3" t="s">
        <v>16</v>
      </c>
      <c r="D178" s="3">
        <v>512310954</v>
      </c>
      <c r="F178" s="3" t="s">
        <v>286</v>
      </c>
      <c r="G178" s="3" t="s">
        <v>14</v>
      </c>
      <c r="H178" s="3">
        <v>2</v>
      </c>
      <c r="I178" s="3">
        <v>398</v>
      </c>
      <c r="J178" s="3">
        <v>0</v>
      </c>
      <c r="K178" s="3">
        <v>199</v>
      </c>
      <c r="L178" s="3">
        <v>0</v>
      </c>
      <c r="M178" s="3">
        <v>0</v>
      </c>
      <c r="N178" s="3">
        <v>199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f t="shared" si="45"/>
        <v>398</v>
      </c>
      <c r="W178" s="3">
        <f t="shared" si="44"/>
        <v>51740</v>
      </c>
      <c r="X178" s="6" t="s">
        <v>296</v>
      </c>
      <c r="Y178" s="3">
        <v>3.7499999999999999E-2</v>
      </c>
      <c r="Z178" s="3" t="s">
        <v>594</v>
      </c>
      <c r="AA178" s="3" t="s">
        <v>128</v>
      </c>
      <c r="AB178" s="3" t="s">
        <v>129</v>
      </c>
      <c r="AC178" s="23" t="s">
        <v>130</v>
      </c>
      <c r="BJ178" s="3">
        <f>SUM($AE178,$AF178:AH178)-SUM($CH178:CK178)</f>
        <v>0</v>
      </c>
      <c r="BK178" s="3">
        <f>SUM($AE178,$AF178:AI178)-SUM($CH178:CL178)</f>
        <v>-3980</v>
      </c>
      <c r="BL178" s="3">
        <f>SUM($AE178,$AF178:AJ178)-SUM($CH178:CM178)</f>
        <v>-9950</v>
      </c>
      <c r="BM178" s="3">
        <f>SUM($AE178,$AF178:AK178)-SUM($CH178:CN178)</f>
        <v>-15920</v>
      </c>
      <c r="BN178" s="3">
        <f>SUM($AE178,$AF178:AL178)-SUM($CH178:CO178)</f>
        <v>-23880</v>
      </c>
      <c r="BO178" s="3">
        <f>SUM($AE178,$AF178:AM178)-SUM($CH178:CP178)</f>
        <v>-31840</v>
      </c>
      <c r="BP178" s="3">
        <f>SUM($AE178,$AF178:AN178)-SUM($CH178:CQ178)</f>
        <v>-39800</v>
      </c>
      <c r="BQ178" s="3">
        <f>SUM($AE178,$AF178:AO178)-SUM($CH178:CR178)</f>
        <v>-47760</v>
      </c>
      <c r="BR178" s="3">
        <f>SUM($AE178,$AF178:AP178)-SUM($CH178:CS178)</f>
        <v>-51740</v>
      </c>
      <c r="BS178" s="3">
        <f>SUM($AE178,$AF178:AQ178)-SUM($CH178:CT178)</f>
        <v>-51740</v>
      </c>
      <c r="BT178" s="3">
        <f>SUM($AE178,$AF178:AR178)-SUM($CH178:CU178)</f>
        <v>-51740</v>
      </c>
      <c r="BU178" s="3">
        <f>SUM($AE178,$AF178:AS178)-SUM($CH178:CV178)</f>
        <v>-51740</v>
      </c>
      <c r="BV178" s="3">
        <f>SUM($AE178,$AF178:AT178)-SUM($CH178:CW178)</f>
        <v>-51740</v>
      </c>
      <c r="BW178" s="3">
        <f>SUM($AE178,$AF178:AU178)-SUM($CH178:CX178)</f>
        <v>-51740</v>
      </c>
      <c r="BX178" s="3">
        <f>SUM($AE178,$AF178:AV178)-SUM($CH178:CY178)</f>
        <v>-51740</v>
      </c>
      <c r="BY178" s="3">
        <f>SUM($AE178,$AF178:AW178)-SUM($CH178:CZ178)</f>
        <v>-51740</v>
      </c>
      <c r="BZ178" s="3">
        <f>SUM($AE178,$AF178:AX178)-SUM($CH178:DA178)</f>
        <v>-51740</v>
      </c>
      <c r="CA178" s="3">
        <f>SUM($AE178,$AF178:AY178)-SUM($CH178:DB178)</f>
        <v>-51740</v>
      </c>
      <c r="CB178" s="3">
        <f>SUM($AE178,$AF178:AZ178)-SUM($CH178:DC178)</f>
        <v>-51740</v>
      </c>
      <c r="CC178" s="3">
        <f>SUM($AE178,$AF178:BA178)-SUM($CH178:DD178)</f>
        <v>-51740</v>
      </c>
      <c r="CI178" s="3">
        <f t="array" ref="CI178">SUMPRODUCT($J178:$U178,TRANSPOSE(CI$3:CI$14))</f>
        <v>0</v>
      </c>
      <c r="CJ178" s="3">
        <f t="array" ref="CJ178">SUMPRODUCT($J178:$U178,TRANSPOSE(CJ$3:CJ$14))</f>
        <v>0</v>
      </c>
      <c r="CK178" s="3">
        <f t="array" ref="CK178">SUMPRODUCT($J178:$U178,TRANSPOSE(CK$3:CK$14))</f>
        <v>0</v>
      </c>
      <c r="CL178" s="3">
        <f t="array" ref="CL178">SUMPRODUCT($J178:$U178,TRANSPOSE(CL$3:CL$14))</f>
        <v>3980</v>
      </c>
      <c r="CM178" s="3">
        <f t="array" ref="CM178">SUMPRODUCT($J178:$U178,TRANSPOSE(CM$3:CM$14))</f>
        <v>5970</v>
      </c>
      <c r="CN178" s="3">
        <f t="array" ref="CN178">SUMPRODUCT($J178:$U178,TRANSPOSE(CN$3:CN$14))</f>
        <v>5970</v>
      </c>
      <c r="CO178" s="3">
        <f t="array" ref="CO178">SUMPRODUCT($J178:$U178,TRANSPOSE(CO$3:CO$14))</f>
        <v>7960</v>
      </c>
      <c r="CP178" s="3">
        <f t="array" ref="CP178">SUMPRODUCT($J178:$U178,TRANSPOSE(CP$3:CP$14))</f>
        <v>7960</v>
      </c>
      <c r="CQ178" s="3">
        <f t="array" ref="CQ178">SUMPRODUCT($J178:$U178,TRANSPOSE(CQ$3:CQ$14))</f>
        <v>7960</v>
      </c>
      <c r="CR178" s="3">
        <f t="array" ref="CR178">SUMPRODUCT($J178:$U178,TRANSPOSE(CR$3:CR$14))</f>
        <v>7960</v>
      </c>
      <c r="CS178" s="3">
        <f t="array" ref="CS178">SUMPRODUCT($J178:$U178,TRANSPOSE(CS$3:CS$14))</f>
        <v>3980</v>
      </c>
      <c r="CT178" s="3">
        <f t="array" ref="CT178">SUMPRODUCT($J178:$U178,TRANSPOSE(CT$3:CT$14))</f>
        <v>0</v>
      </c>
      <c r="CU178" s="3">
        <f t="array" ref="CU178">SUMPRODUCT($J178:$U178,TRANSPOSE(CU$3:CU$14))</f>
        <v>0</v>
      </c>
      <c r="CV178" s="3">
        <f t="array" ref="CV178">SUMPRODUCT($J178:$U178,TRANSPOSE(CV$3:CV$14))</f>
        <v>0</v>
      </c>
      <c r="CW178" s="3">
        <f t="array" ref="CW178">SUMPRODUCT($J178:$U178,TRANSPOSE(CW$3:CW$14))</f>
        <v>0</v>
      </c>
      <c r="CX178" s="3">
        <f t="array" ref="CX178">SUMPRODUCT($J178:$U178,TRANSPOSE(CX$3:CX$14))</f>
        <v>0</v>
      </c>
      <c r="CY178" s="3">
        <f t="array" ref="CY178">SUMPRODUCT($J178:$U178,TRANSPOSE(CY$3:CY$14))</f>
        <v>0</v>
      </c>
      <c r="CZ178" s="3">
        <f t="array" ref="CZ178">SUMPRODUCT($J178:$U178,TRANSPOSE(CZ$3:CZ$14))</f>
        <v>0</v>
      </c>
      <c r="DA178" s="3">
        <f t="array" ref="DA178">SUMPRODUCT($J178:$U178,TRANSPOSE(DA$3:DA$14))</f>
        <v>0</v>
      </c>
      <c r="DB178" s="3">
        <f t="array" ref="DB178">SUMPRODUCT($J178:$U178,TRANSPOSE(DB$3:DB$14))</f>
        <v>0</v>
      </c>
      <c r="DC178" s="3">
        <f t="array" ref="DC178">SUMPRODUCT($J178:$U178,TRANSPOSE(DC$3:DC$14))</f>
        <v>0</v>
      </c>
      <c r="DD178" s="3">
        <f t="array" ref="DD178">SUMPRODUCT($J178:$U178,TRANSPOSE(DD$3:DD$14))</f>
        <v>0</v>
      </c>
      <c r="DE178" s="3">
        <f t="array" ref="DE178">SUMPRODUCT($J178:$U178,TRANSPOSE(DE$3:DE$14))</f>
        <v>0</v>
      </c>
    </row>
    <row r="179" spans="1:109" ht="13.5" thickBot="1" x14ac:dyDescent="0.25">
      <c r="A179" s="3">
        <v>700</v>
      </c>
      <c r="B179" s="9" t="s">
        <v>678</v>
      </c>
      <c r="C179" s="3" t="s">
        <v>16</v>
      </c>
      <c r="D179" s="3">
        <v>512315821</v>
      </c>
      <c r="F179" s="3" t="s">
        <v>286</v>
      </c>
      <c r="G179" s="3" t="s">
        <v>14</v>
      </c>
      <c r="H179" s="3">
        <v>2</v>
      </c>
      <c r="I179" s="3">
        <v>9</v>
      </c>
      <c r="J179" s="3">
        <v>0</v>
      </c>
      <c r="K179" s="3">
        <v>5</v>
      </c>
      <c r="L179" s="3">
        <v>0</v>
      </c>
      <c r="M179" s="3">
        <v>0</v>
      </c>
      <c r="N179" s="3">
        <v>4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f t="shared" si="45"/>
        <v>9</v>
      </c>
      <c r="W179" s="3">
        <f t="shared" si="44"/>
        <v>1170</v>
      </c>
      <c r="X179" s="6" t="s">
        <v>296</v>
      </c>
      <c r="Y179" s="3">
        <v>0.10199999999999999</v>
      </c>
      <c r="Z179" s="3" t="s">
        <v>594</v>
      </c>
      <c r="AA179" s="3" t="s">
        <v>128</v>
      </c>
      <c r="AB179" s="3" t="s">
        <v>129</v>
      </c>
      <c r="AC179" s="23" t="s">
        <v>130</v>
      </c>
      <c r="BJ179" s="3">
        <f>SUM($AE179,$AF179:AH179)-SUM($CH179:CK179)</f>
        <v>0</v>
      </c>
      <c r="BK179" s="3">
        <f>SUM($AE179,$AF179:AI179)-SUM($CH179:CL179)</f>
        <v>-90</v>
      </c>
      <c r="BL179" s="3">
        <f>SUM($AE179,$AF179:AJ179)-SUM($CH179:CM179)</f>
        <v>-225</v>
      </c>
      <c r="BM179" s="3">
        <f>SUM($AE179,$AF179:AK179)-SUM($CH179:CN179)</f>
        <v>-360</v>
      </c>
      <c r="BN179" s="3">
        <f>SUM($AE179,$AF179:AL179)-SUM($CH179:CO179)</f>
        <v>-540</v>
      </c>
      <c r="BO179" s="3">
        <f>SUM($AE179,$AF179:AM179)-SUM($CH179:CP179)</f>
        <v>-720</v>
      </c>
      <c r="BP179" s="3">
        <f>SUM($AE179,$AF179:AN179)-SUM($CH179:CQ179)</f>
        <v>-900</v>
      </c>
      <c r="BQ179" s="3">
        <f>SUM($AE179,$AF179:AO179)-SUM($CH179:CR179)</f>
        <v>-1080</v>
      </c>
      <c r="BR179" s="3">
        <f>SUM($AE179,$AF179:AP179)-SUM($CH179:CS179)</f>
        <v>-1170</v>
      </c>
      <c r="BS179" s="3">
        <f>SUM($AE179,$AF179:AQ179)-SUM($CH179:CT179)</f>
        <v>-1170</v>
      </c>
      <c r="BT179" s="3">
        <f>SUM($AE179,$AF179:AR179)-SUM($CH179:CU179)</f>
        <v>-1170</v>
      </c>
      <c r="BU179" s="3">
        <f>SUM($AE179,$AF179:AS179)-SUM($CH179:CV179)</f>
        <v>-1170</v>
      </c>
      <c r="BV179" s="3">
        <f>SUM($AE179,$AF179:AT179)-SUM($CH179:CW179)</f>
        <v>-1170</v>
      </c>
      <c r="BW179" s="3">
        <f>SUM($AE179,$AF179:AU179)-SUM($CH179:CX179)</f>
        <v>-1170</v>
      </c>
      <c r="BX179" s="3">
        <f>SUM($AE179,$AF179:AV179)-SUM($CH179:CY179)</f>
        <v>-1170</v>
      </c>
      <c r="BY179" s="3">
        <f>SUM($AE179,$AF179:AW179)-SUM($CH179:CZ179)</f>
        <v>-1170</v>
      </c>
      <c r="BZ179" s="3">
        <f>SUM($AE179,$AF179:AX179)-SUM($CH179:DA179)</f>
        <v>-1170</v>
      </c>
      <c r="CA179" s="3">
        <f>SUM($AE179,$AF179:AY179)-SUM($CH179:DB179)</f>
        <v>-1170</v>
      </c>
      <c r="CB179" s="3">
        <f>SUM($AE179,$AF179:AZ179)-SUM($CH179:DC179)</f>
        <v>-1170</v>
      </c>
      <c r="CC179" s="3">
        <f>SUM($AE179,$AF179:BA179)-SUM($CH179:DD179)</f>
        <v>-1170</v>
      </c>
      <c r="CI179" s="3">
        <f t="array" ref="CI179">SUMPRODUCT($J179:$U179,TRANSPOSE(CI$3:CI$14))</f>
        <v>0</v>
      </c>
      <c r="CJ179" s="3">
        <f t="array" ref="CJ179">SUMPRODUCT($J179:$U179,TRANSPOSE(CJ$3:CJ$14))</f>
        <v>0</v>
      </c>
      <c r="CK179" s="3">
        <f t="array" ref="CK179">SUMPRODUCT($J179:$U179,TRANSPOSE(CK$3:CK$14))</f>
        <v>0</v>
      </c>
      <c r="CL179" s="3">
        <f t="array" ref="CL179">SUMPRODUCT($J179:$U179,TRANSPOSE(CL$3:CL$14))</f>
        <v>90</v>
      </c>
      <c r="CM179" s="3">
        <f t="array" ref="CM179">SUMPRODUCT($J179:$U179,TRANSPOSE(CM$3:CM$14))</f>
        <v>135</v>
      </c>
      <c r="CN179" s="3">
        <f t="array" ref="CN179">SUMPRODUCT($J179:$U179,TRANSPOSE(CN$3:CN$14))</f>
        <v>135</v>
      </c>
      <c r="CO179" s="3">
        <f t="array" ref="CO179">SUMPRODUCT($J179:$U179,TRANSPOSE(CO$3:CO$14))</f>
        <v>180</v>
      </c>
      <c r="CP179" s="3">
        <f t="array" ref="CP179">SUMPRODUCT($J179:$U179,TRANSPOSE(CP$3:CP$14))</f>
        <v>180</v>
      </c>
      <c r="CQ179" s="3">
        <f t="array" ref="CQ179">SUMPRODUCT($J179:$U179,TRANSPOSE(CQ$3:CQ$14))</f>
        <v>180</v>
      </c>
      <c r="CR179" s="3">
        <f t="array" ref="CR179">SUMPRODUCT($J179:$U179,TRANSPOSE(CR$3:CR$14))</f>
        <v>180</v>
      </c>
      <c r="CS179" s="3">
        <f t="array" ref="CS179">SUMPRODUCT($J179:$U179,TRANSPOSE(CS$3:CS$14))</f>
        <v>90</v>
      </c>
      <c r="CT179" s="3">
        <f t="array" ref="CT179">SUMPRODUCT($J179:$U179,TRANSPOSE(CT$3:CT$14))</f>
        <v>0</v>
      </c>
      <c r="CU179" s="3">
        <f t="array" ref="CU179">SUMPRODUCT($J179:$U179,TRANSPOSE(CU$3:CU$14))</f>
        <v>0</v>
      </c>
      <c r="CV179" s="3">
        <f t="array" ref="CV179">SUMPRODUCT($J179:$U179,TRANSPOSE(CV$3:CV$14))</f>
        <v>0</v>
      </c>
      <c r="CW179" s="3">
        <f t="array" ref="CW179">SUMPRODUCT($J179:$U179,TRANSPOSE(CW$3:CW$14))</f>
        <v>0</v>
      </c>
      <c r="CX179" s="3">
        <f t="array" ref="CX179">SUMPRODUCT($J179:$U179,TRANSPOSE(CX$3:CX$14))</f>
        <v>0</v>
      </c>
      <c r="CY179" s="3">
        <f t="array" ref="CY179">SUMPRODUCT($J179:$U179,TRANSPOSE(CY$3:CY$14))</f>
        <v>0</v>
      </c>
      <c r="CZ179" s="3">
        <f t="array" ref="CZ179">SUMPRODUCT($J179:$U179,TRANSPOSE(CZ$3:CZ$14))</f>
        <v>0</v>
      </c>
      <c r="DA179" s="3">
        <f t="array" ref="DA179">SUMPRODUCT($J179:$U179,TRANSPOSE(DA$3:DA$14))</f>
        <v>0</v>
      </c>
      <c r="DB179" s="3">
        <f t="array" ref="DB179">SUMPRODUCT($J179:$U179,TRANSPOSE(DB$3:DB$14))</f>
        <v>0</v>
      </c>
      <c r="DC179" s="3">
        <f t="array" ref="DC179">SUMPRODUCT($J179:$U179,TRANSPOSE(DC$3:DC$14))</f>
        <v>0</v>
      </c>
      <c r="DD179" s="3">
        <f t="array" ref="DD179">SUMPRODUCT($J179:$U179,TRANSPOSE(DD$3:DD$14))</f>
        <v>0</v>
      </c>
      <c r="DE179" s="3">
        <f t="array" ref="DE179">SUMPRODUCT($J179:$U179,TRANSPOSE(DE$3:DE$14))</f>
        <v>0</v>
      </c>
    </row>
    <row r="180" spans="1:109" ht="13.5" thickBot="1" x14ac:dyDescent="0.25">
      <c r="A180" s="3">
        <v>709</v>
      </c>
      <c r="B180" s="9" t="s">
        <v>679</v>
      </c>
      <c r="C180" s="3" t="s">
        <v>16</v>
      </c>
      <c r="D180" s="3">
        <v>512224098</v>
      </c>
      <c r="E180" s="3">
        <v>400959540</v>
      </c>
      <c r="F180" s="3" t="s">
        <v>279</v>
      </c>
      <c r="G180" s="3" t="s">
        <v>14</v>
      </c>
      <c r="H180" s="3">
        <v>2</v>
      </c>
      <c r="I180" s="3">
        <v>2</v>
      </c>
      <c r="J180" s="3">
        <v>2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f t="shared" si="45"/>
        <v>2</v>
      </c>
      <c r="W180" s="3">
        <f t="shared" si="44"/>
        <v>260</v>
      </c>
      <c r="X180" s="6" t="s">
        <v>280</v>
      </c>
      <c r="Y180" s="3">
        <v>0.2</v>
      </c>
      <c r="Z180" s="3" t="s">
        <v>594</v>
      </c>
      <c r="AA180" s="3" t="s">
        <v>128</v>
      </c>
      <c r="AB180" s="3" t="s">
        <v>129</v>
      </c>
      <c r="AC180" s="23" t="s">
        <v>130</v>
      </c>
      <c r="BJ180" s="3">
        <f>SUM($AE180,$AF180:AH180)-SUM($CH180:CK180)</f>
        <v>0</v>
      </c>
      <c r="BK180" s="3">
        <f>SUM($AE180,$AF180:AI180)-SUM($CH180:CL180)</f>
        <v>0</v>
      </c>
      <c r="BL180" s="3">
        <f>SUM($AE180,$AF180:AJ180)-SUM($CH180:CM180)</f>
        <v>-20</v>
      </c>
      <c r="BM180" s="3">
        <f>SUM($AE180,$AF180:AK180)-SUM($CH180:CN180)</f>
        <v>-50</v>
      </c>
      <c r="BN180" s="3">
        <f>SUM($AE180,$AF180:AL180)-SUM($CH180:CO180)</f>
        <v>-80</v>
      </c>
      <c r="BO180" s="3">
        <f>SUM($AE180,$AF180:AM180)-SUM($CH180:CP180)</f>
        <v>-120</v>
      </c>
      <c r="BP180" s="3">
        <f>SUM($AE180,$AF180:AN180)-SUM($CH180:CQ180)</f>
        <v>-160</v>
      </c>
      <c r="BQ180" s="3">
        <f>SUM($AE180,$AF180:AO180)-SUM($CH180:CR180)</f>
        <v>-200</v>
      </c>
      <c r="BR180" s="3">
        <f>SUM($AE180,$AF180:AP180)-SUM($CH180:CS180)</f>
        <v>-240</v>
      </c>
      <c r="BS180" s="3">
        <f>SUM($AE180,$AF180:AQ180)-SUM($CH180:CT180)</f>
        <v>-260</v>
      </c>
      <c r="BT180" s="3">
        <f>SUM($AE180,$AF180:AR180)-SUM($CH180:CU180)</f>
        <v>-260</v>
      </c>
      <c r="BU180" s="3">
        <f>SUM($AE180,$AF180:AS180)-SUM($CH180:CV180)</f>
        <v>-260</v>
      </c>
      <c r="BV180" s="3">
        <f>SUM($AE180,$AF180:AT180)-SUM($CH180:CW180)</f>
        <v>-260</v>
      </c>
      <c r="BW180" s="3">
        <f>SUM($AE180,$AF180:AU180)-SUM($CH180:CX180)</f>
        <v>-260</v>
      </c>
      <c r="BX180" s="3">
        <f>SUM($AE180,$AF180:AV180)-SUM($CH180:CY180)</f>
        <v>-260</v>
      </c>
      <c r="BY180" s="3">
        <f>SUM($AE180,$AF180:AW180)-SUM($CH180:CZ180)</f>
        <v>-260</v>
      </c>
      <c r="BZ180" s="3">
        <f>SUM($AE180,$AF180:AX180)-SUM($CH180:DA180)</f>
        <v>-260</v>
      </c>
      <c r="CA180" s="3">
        <f>SUM($AE180,$AF180:AY180)-SUM($CH180:DB180)</f>
        <v>-260</v>
      </c>
      <c r="CB180" s="3">
        <f>SUM($AE180,$AF180:AZ180)-SUM($CH180:DC180)</f>
        <v>-260</v>
      </c>
      <c r="CC180" s="3">
        <f>SUM($AE180,$AF180:BA180)-SUM($CH180:DD180)</f>
        <v>-260</v>
      </c>
      <c r="CI180" s="3">
        <f t="array" ref="CI180">SUMPRODUCT($J180:$U180,TRANSPOSE(CI$3:CI$14))</f>
        <v>0</v>
      </c>
      <c r="CJ180" s="3">
        <f t="array" ref="CJ180">SUMPRODUCT($J180:$U180,TRANSPOSE(CJ$3:CJ$14))</f>
        <v>0</v>
      </c>
      <c r="CK180" s="3">
        <f t="array" ref="CK180">SUMPRODUCT($J180:$U180,TRANSPOSE(CK$3:CK$14))</f>
        <v>0</v>
      </c>
      <c r="CL180" s="3">
        <f t="array" ref="CL180">SUMPRODUCT($J180:$U180,TRANSPOSE(CL$3:CL$14))</f>
        <v>0</v>
      </c>
      <c r="CM180" s="3">
        <f t="array" ref="CM180">SUMPRODUCT($J180:$U180,TRANSPOSE(CM$3:CM$14))</f>
        <v>20</v>
      </c>
      <c r="CN180" s="3">
        <f t="array" ref="CN180">SUMPRODUCT($J180:$U180,TRANSPOSE(CN$3:CN$14))</f>
        <v>30</v>
      </c>
      <c r="CO180" s="3">
        <f t="array" ref="CO180">SUMPRODUCT($J180:$U180,TRANSPOSE(CO$3:CO$14))</f>
        <v>30</v>
      </c>
      <c r="CP180" s="3">
        <f t="array" ref="CP180">SUMPRODUCT($J180:$U180,TRANSPOSE(CP$3:CP$14))</f>
        <v>40</v>
      </c>
      <c r="CQ180" s="3">
        <f t="array" ref="CQ180">SUMPRODUCT($J180:$U180,TRANSPOSE(CQ$3:CQ$14))</f>
        <v>40</v>
      </c>
      <c r="CR180" s="3">
        <f t="array" ref="CR180">SUMPRODUCT($J180:$U180,TRANSPOSE(CR$3:CR$14))</f>
        <v>40</v>
      </c>
      <c r="CS180" s="3">
        <f t="array" ref="CS180">SUMPRODUCT($J180:$U180,TRANSPOSE(CS$3:CS$14))</f>
        <v>40</v>
      </c>
      <c r="CT180" s="3">
        <f t="array" ref="CT180">SUMPRODUCT($J180:$U180,TRANSPOSE(CT$3:CT$14))</f>
        <v>20</v>
      </c>
      <c r="CU180" s="3">
        <f t="array" ref="CU180">SUMPRODUCT($J180:$U180,TRANSPOSE(CU$3:CU$14))</f>
        <v>0</v>
      </c>
      <c r="CV180" s="3">
        <f t="array" ref="CV180">SUMPRODUCT($J180:$U180,TRANSPOSE(CV$3:CV$14))</f>
        <v>0</v>
      </c>
      <c r="CW180" s="3">
        <f t="array" ref="CW180">SUMPRODUCT($J180:$U180,TRANSPOSE(CW$3:CW$14))</f>
        <v>0</v>
      </c>
      <c r="CX180" s="3">
        <f t="array" ref="CX180">SUMPRODUCT($J180:$U180,TRANSPOSE(CX$3:CX$14))</f>
        <v>0</v>
      </c>
      <c r="CY180" s="3">
        <f t="array" ref="CY180">SUMPRODUCT($J180:$U180,TRANSPOSE(CY$3:CY$14))</f>
        <v>0</v>
      </c>
      <c r="CZ180" s="3">
        <f t="array" ref="CZ180">SUMPRODUCT($J180:$U180,TRANSPOSE(CZ$3:CZ$14))</f>
        <v>0</v>
      </c>
      <c r="DA180" s="3">
        <f t="array" ref="DA180">SUMPRODUCT($J180:$U180,TRANSPOSE(DA$3:DA$14))</f>
        <v>0</v>
      </c>
      <c r="DB180" s="3">
        <f t="array" ref="DB180">SUMPRODUCT($J180:$U180,TRANSPOSE(DB$3:DB$14))</f>
        <v>0</v>
      </c>
      <c r="DC180" s="3">
        <f t="array" ref="DC180">SUMPRODUCT($J180:$U180,TRANSPOSE(DC$3:DC$14))</f>
        <v>0</v>
      </c>
      <c r="DD180" s="3">
        <f t="array" ref="DD180">SUMPRODUCT($J180:$U180,TRANSPOSE(DD$3:DD$14))</f>
        <v>0</v>
      </c>
      <c r="DE180" s="3">
        <f t="array" ref="DE180">SUMPRODUCT($J180:$U180,TRANSPOSE(DE$3:DE$14))</f>
        <v>0</v>
      </c>
    </row>
    <row r="181" spans="1:109" ht="13.5" thickBot="1" x14ac:dyDescent="0.25">
      <c r="A181" s="3">
        <v>710</v>
      </c>
      <c r="B181" s="9" t="s">
        <v>680</v>
      </c>
      <c r="C181" s="3" t="s">
        <v>16</v>
      </c>
      <c r="D181" s="3">
        <v>512222886</v>
      </c>
      <c r="E181" s="3">
        <v>400584348</v>
      </c>
      <c r="F181" s="3" t="s">
        <v>279</v>
      </c>
      <c r="G181" s="3" t="s">
        <v>14</v>
      </c>
      <c r="H181" s="3">
        <v>2</v>
      </c>
      <c r="I181" s="3">
        <v>12</v>
      </c>
      <c r="J181" s="3">
        <v>12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f t="shared" si="45"/>
        <v>12</v>
      </c>
      <c r="W181" s="3">
        <f t="shared" si="44"/>
        <v>1560</v>
      </c>
      <c r="X181" s="6" t="s">
        <v>280</v>
      </c>
      <c r="Y181" s="3">
        <v>0.14899999999999999</v>
      </c>
      <c r="Z181" s="3" t="s">
        <v>594</v>
      </c>
      <c r="AA181" s="3" t="s">
        <v>128</v>
      </c>
      <c r="AB181" s="3" t="s">
        <v>129</v>
      </c>
      <c r="AC181" s="23" t="s">
        <v>130</v>
      </c>
      <c r="BJ181" s="3">
        <f>SUM($AE181,$AF181:AH181)-SUM($CH181:CK181)</f>
        <v>0</v>
      </c>
      <c r="BK181" s="3">
        <f>SUM($AE181,$AF181:AI181)-SUM($CH181:CL181)</f>
        <v>0</v>
      </c>
      <c r="BL181" s="3">
        <f>SUM($AE181,$AF181:AJ181)-SUM($CH181:CM181)</f>
        <v>-120</v>
      </c>
      <c r="BM181" s="3">
        <f>SUM($AE181,$AF181:AK181)-SUM($CH181:CN181)</f>
        <v>-300</v>
      </c>
      <c r="BN181" s="3">
        <f>SUM($AE181,$AF181:AL181)-SUM($CH181:CO181)</f>
        <v>-480</v>
      </c>
      <c r="BO181" s="3">
        <f>SUM($AE181,$AF181:AM181)-SUM($CH181:CP181)</f>
        <v>-720</v>
      </c>
      <c r="BP181" s="3">
        <f>SUM($AE181,$AF181:AN181)-SUM($CH181:CQ181)</f>
        <v>-960</v>
      </c>
      <c r="BQ181" s="3">
        <f>SUM($AE181,$AF181:AO181)-SUM($CH181:CR181)</f>
        <v>-1200</v>
      </c>
      <c r="BR181" s="3">
        <f>SUM($AE181,$AF181:AP181)-SUM($CH181:CS181)</f>
        <v>-1440</v>
      </c>
      <c r="BS181" s="3">
        <f>SUM($AE181,$AF181:AQ181)-SUM($CH181:CT181)</f>
        <v>-1560</v>
      </c>
      <c r="BT181" s="3">
        <f>SUM($AE181,$AF181:AR181)-SUM($CH181:CU181)</f>
        <v>-1560</v>
      </c>
      <c r="BU181" s="3">
        <f>SUM($AE181,$AF181:AS181)-SUM($CH181:CV181)</f>
        <v>-1560</v>
      </c>
      <c r="BV181" s="3">
        <f>SUM($AE181,$AF181:AT181)-SUM($CH181:CW181)</f>
        <v>-1560</v>
      </c>
      <c r="BW181" s="3">
        <f>SUM($AE181,$AF181:AU181)-SUM($CH181:CX181)</f>
        <v>-1560</v>
      </c>
      <c r="BX181" s="3">
        <f>SUM($AE181,$AF181:AV181)-SUM($CH181:CY181)</f>
        <v>-1560</v>
      </c>
      <c r="BY181" s="3">
        <f>SUM($AE181,$AF181:AW181)-SUM($CH181:CZ181)</f>
        <v>-1560</v>
      </c>
      <c r="BZ181" s="3">
        <f>SUM($AE181,$AF181:AX181)-SUM($CH181:DA181)</f>
        <v>-1560</v>
      </c>
      <c r="CA181" s="3">
        <f>SUM($AE181,$AF181:AY181)-SUM($CH181:DB181)</f>
        <v>-1560</v>
      </c>
      <c r="CB181" s="3">
        <f>SUM($AE181,$AF181:AZ181)-SUM($CH181:DC181)</f>
        <v>-1560</v>
      </c>
      <c r="CC181" s="3">
        <f>SUM($AE181,$AF181:BA181)-SUM($CH181:DD181)</f>
        <v>-1560</v>
      </c>
      <c r="CI181" s="3">
        <f t="array" ref="CI181">SUMPRODUCT($J181:$U181,TRANSPOSE(CI$3:CI$14))</f>
        <v>0</v>
      </c>
      <c r="CJ181" s="3">
        <f t="array" ref="CJ181">SUMPRODUCT($J181:$U181,TRANSPOSE(CJ$3:CJ$14))</f>
        <v>0</v>
      </c>
      <c r="CK181" s="3">
        <f t="array" ref="CK181">SUMPRODUCT($J181:$U181,TRANSPOSE(CK$3:CK$14))</f>
        <v>0</v>
      </c>
      <c r="CL181" s="3">
        <f t="array" ref="CL181">SUMPRODUCT($J181:$U181,TRANSPOSE(CL$3:CL$14))</f>
        <v>0</v>
      </c>
      <c r="CM181" s="3">
        <f t="array" ref="CM181">SUMPRODUCT($J181:$U181,TRANSPOSE(CM$3:CM$14))</f>
        <v>120</v>
      </c>
      <c r="CN181" s="3">
        <f t="array" ref="CN181">SUMPRODUCT($J181:$U181,TRANSPOSE(CN$3:CN$14))</f>
        <v>180</v>
      </c>
      <c r="CO181" s="3">
        <f t="array" ref="CO181">SUMPRODUCT($J181:$U181,TRANSPOSE(CO$3:CO$14))</f>
        <v>180</v>
      </c>
      <c r="CP181" s="3">
        <f t="array" ref="CP181">SUMPRODUCT($J181:$U181,TRANSPOSE(CP$3:CP$14))</f>
        <v>240</v>
      </c>
      <c r="CQ181" s="3">
        <f t="array" ref="CQ181">SUMPRODUCT($J181:$U181,TRANSPOSE(CQ$3:CQ$14))</f>
        <v>240</v>
      </c>
      <c r="CR181" s="3">
        <f t="array" ref="CR181">SUMPRODUCT($J181:$U181,TRANSPOSE(CR$3:CR$14))</f>
        <v>240</v>
      </c>
      <c r="CS181" s="3">
        <f t="array" ref="CS181">SUMPRODUCT($J181:$U181,TRANSPOSE(CS$3:CS$14))</f>
        <v>240</v>
      </c>
      <c r="CT181" s="3">
        <f t="array" ref="CT181">SUMPRODUCT($J181:$U181,TRANSPOSE(CT$3:CT$14))</f>
        <v>120</v>
      </c>
      <c r="CU181" s="3">
        <f t="array" ref="CU181">SUMPRODUCT($J181:$U181,TRANSPOSE(CU$3:CU$14))</f>
        <v>0</v>
      </c>
      <c r="CV181" s="3">
        <f t="array" ref="CV181">SUMPRODUCT($J181:$U181,TRANSPOSE(CV$3:CV$14))</f>
        <v>0</v>
      </c>
      <c r="CW181" s="3">
        <f t="array" ref="CW181">SUMPRODUCT($J181:$U181,TRANSPOSE(CW$3:CW$14))</f>
        <v>0</v>
      </c>
      <c r="CX181" s="3">
        <f t="array" ref="CX181">SUMPRODUCT($J181:$U181,TRANSPOSE(CX$3:CX$14))</f>
        <v>0</v>
      </c>
      <c r="CY181" s="3">
        <f t="array" ref="CY181">SUMPRODUCT($J181:$U181,TRANSPOSE(CY$3:CY$14))</f>
        <v>0</v>
      </c>
      <c r="CZ181" s="3">
        <f t="array" ref="CZ181">SUMPRODUCT($J181:$U181,TRANSPOSE(CZ$3:CZ$14))</f>
        <v>0</v>
      </c>
      <c r="DA181" s="3">
        <f t="array" ref="DA181">SUMPRODUCT($J181:$U181,TRANSPOSE(DA$3:DA$14))</f>
        <v>0</v>
      </c>
      <c r="DB181" s="3">
        <f t="array" ref="DB181">SUMPRODUCT($J181:$U181,TRANSPOSE(DB$3:DB$14))</f>
        <v>0</v>
      </c>
      <c r="DC181" s="3">
        <f t="array" ref="DC181">SUMPRODUCT($J181:$U181,TRANSPOSE(DC$3:DC$14))</f>
        <v>0</v>
      </c>
      <c r="DD181" s="3">
        <f t="array" ref="DD181">SUMPRODUCT($J181:$U181,TRANSPOSE(DD$3:DD$14))</f>
        <v>0</v>
      </c>
      <c r="DE181" s="3">
        <f t="array" ref="DE181">SUMPRODUCT($J181:$U181,TRANSPOSE(DE$3:DE$14))</f>
        <v>0</v>
      </c>
    </row>
    <row r="182" spans="1:109" ht="13.5" thickBot="1" x14ac:dyDescent="0.25">
      <c r="A182" s="3">
        <v>711</v>
      </c>
      <c r="B182" s="9" t="s">
        <v>681</v>
      </c>
      <c r="C182" s="3" t="s">
        <v>16</v>
      </c>
      <c r="D182" s="3">
        <v>512220526</v>
      </c>
      <c r="E182" s="3">
        <v>405849849</v>
      </c>
      <c r="F182" s="3" t="s">
        <v>279</v>
      </c>
      <c r="G182" s="3" t="s">
        <v>14</v>
      </c>
      <c r="H182" s="3">
        <v>2</v>
      </c>
      <c r="I182" s="3">
        <v>134</v>
      </c>
      <c r="J182" s="3">
        <v>125</v>
      </c>
      <c r="K182" s="3">
        <v>4</v>
      </c>
      <c r="L182" s="3">
        <v>0</v>
      </c>
      <c r="M182" s="3">
        <v>0</v>
      </c>
      <c r="N182" s="3">
        <v>5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f t="shared" si="45"/>
        <v>134</v>
      </c>
      <c r="W182" s="3">
        <f t="shared" si="44"/>
        <v>17420</v>
      </c>
      <c r="X182" s="6" t="s">
        <v>280</v>
      </c>
      <c r="Y182" s="3">
        <v>0.13900000000000001</v>
      </c>
      <c r="Z182" s="3" t="s">
        <v>594</v>
      </c>
      <c r="AA182" s="3" t="s">
        <v>128</v>
      </c>
      <c r="AB182" s="3" t="s">
        <v>129</v>
      </c>
      <c r="AC182" s="23" t="s">
        <v>130</v>
      </c>
      <c r="BJ182" s="3">
        <f>SUM($AE182,$AF182:AH182)-SUM($CH182:CK182)</f>
        <v>0</v>
      </c>
      <c r="BK182" s="3">
        <f>SUM($AE182,$AF182:AI182)-SUM($CH182:CL182)</f>
        <v>-90</v>
      </c>
      <c r="BL182" s="3">
        <f>SUM($AE182,$AF182:AJ182)-SUM($CH182:CM182)</f>
        <v>-1475</v>
      </c>
      <c r="BM182" s="3">
        <f>SUM($AE182,$AF182:AK182)-SUM($CH182:CN182)</f>
        <v>-3485</v>
      </c>
      <c r="BN182" s="3">
        <f>SUM($AE182,$AF182:AL182)-SUM($CH182:CO182)</f>
        <v>-5540</v>
      </c>
      <c r="BO182" s="3">
        <f>SUM($AE182,$AF182:AM182)-SUM($CH182:CP182)</f>
        <v>-8220</v>
      </c>
      <c r="BP182" s="3">
        <f>SUM($AE182,$AF182:AN182)-SUM($CH182:CQ182)</f>
        <v>-10900</v>
      </c>
      <c r="BQ182" s="3">
        <f>SUM($AE182,$AF182:AO182)-SUM($CH182:CR182)</f>
        <v>-13580</v>
      </c>
      <c r="BR182" s="3">
        <f>SUM($AE182,$AF182:AP182)-SUM($CH182:CS182)</f>
        <v>-16170</v>
      </c>
      <c r="BS182" s="3">
        <f>SUM($AE182,$AF182:AQ182)-SUM($CH182:CT182)</f>
        <v>-17420</v>
      </c>
      <c r="BT182" s="3">
        <f>SUM($AE182,$AF182:AR182)-SUM($CH182:CU182)</f>
        <v>-17420</v>
      </c>
      <c r="BU182" s="3">
        <f>SUM($AE182,$AF182:AS182)-SUM($CH182:CV182)</f>
        <v>-17420</v>
      </c>
      <c r="BV182" s="3">
        <f>SUM($AE182,$AF182:AT182)-SUM($CH182:CW182)</f>
        <v>-17420</v>
      </c>
      <c r="BW182" s="3">
        <f>SUM($AE182,$AF182:AU182)-SUM($CH182:CX182)</f>
        <v>-17420</v>
      </c>
      <c r="BX182" s="3">
        <f>SUM($AE182,$AF182:AV182)-SUM($CH182:CY182)</f>
        <v>-17420</v>
      </c>
      <c r="BY182" s="3">
        <f>SUM($AE182,$AF182:AW182)-SUM($CH182:CZ182)</f>
        <v>-17420</v>
      </c>
      <c r="BZ182" s="3">
        <f>SUM($AE182,$AF182:AX182)-SUM($CH182:DA182)</f>
        <v>-17420</v>
      </c>
      <c r="CA182" s="3">
        <f>SUM($AE182,$AF182:AY182)-SUM($CH182:DB182)</f>
        <v>-17420</v>
      </c>
      <c r="CB182" s="3">
        <f>SUM($AE182,$AF182:AZ182)-SUM($CH182:DC182)</f>
        <v>-17420</v>
      </c>
      <c r="CC182" s="3">
        <f>SUM($AE182,$AF182:BA182)-SUM($CH182:DD182)</f>
        <v>-17420</v>
      </c>
      <c r="CI182" s="3">
        <f t="array" ref="CI182">SUMPRODUCT($J182:$U182,TRANSPOSE(CI$3:CI$14))</f>
        <v>0</v>
      </c>
      <c r="CJ182" s="3">
        <f t="array" ref="CJ182">SUMPRODUCT($J182:$U182,TRANSPOSE(CJ$3:CJ$14))</f>
        <v>0</v>
      </c>
      <c r="CK182" s="3">
        <f t="array" ref="CK182">SUMPRODUCT($J182:$U182,TRANSPOSE(CK$3:CK$14))</f>
        <v>0</v>
      </c>
      <c r="CL182" s="3">
        <f t="array" ref="CL182">SUMPRODUCT($J182:$U182,TRANSPOSE(CL$3:CL$14))</f>
        <v>90</v>
      </c>
      <c r="CM182" s="3">
        <f t="array" ref="CM182">SUMPRODUCT($J182:$U182,TRANSPOSE(CM$3:CM$14))</f>
        <v>1385</v>
      </c>
      <c r="CN182" s="3">
        <f t="array" ref="CN182">SUMPRODUCT($J182:$U182,TRANSPOSE(CN$3:CN$14))</f>
        <v>2010</v>
      </c>
      <c r="CO182" s="3">
        <f t="array" ref="CO182">SUMPRODUCT($J182:$U182,TRANSPOSE(CO$3:CO$14))</f>
        <v>2055</v>
      </c>
      <c r="CP182" s="3">
        <f t="array" ref="CP182">SUMPRODUCT($J182:$U182,TRANSPOSE(CP$3:CP$14))</f>
        <v>2680</v>
      </c>
      <c r="CQ182" s="3">
        <f t="array" ref="CQ182">SUMPRODUCT($J182:$U182,TRANSPOSE(CQ$3:CQ$14))</f>
        <v>2680</v>
      </c>
      <c r="CR182" s="3">
        <f t="array" ref="CR182">SUMPRODUCT($J182:$U182,TRANSPOSE(CR$3:CR$14))</f>
        <v>2680</v>
      </c>
      <c r="CS182" s="3">
        <f t="array" ref="CS182">SUMPRODUCT($J182:$U182,TRANSPOSE(CS$3:CS$14))</f>
        <v>2590</v>
      </c>
      <c r="CT182" s="3">
        <f t="array" ref="CT182">SUMPRODUCT($J182:$U182,TRANSPOSE(CT$3:CT$14))</f>
        <v>1250</v>
      </c>
      <c r="CU182" s="3">
        <f t="array" ref="CU182">SUMPRODUCT($J182:$U182,TRANSPOSE(CU$3:CU$14))</f>
        <v>0</v>
      </c>
      <c r="CV182" s="3">
        <f t="array" ref="CV182">SUMPRODUCT($J182:$U182,TRANSPOSE(CV$3:CV$14))</f>
        <v>0</v>
      </c>
      <c r="CW182" s="3">
        <f t="array" ref="CW182">SUMPRODUCT($J182:$U182,TRANSPOSE(CW$3:CW$14))</f>
        <v>0</v>
      </c>
      <c r="CX182" s="3">
        <f t="array" ref="CX182">SUMPRODUCT($J182:$U182,TRANSPOSE(CX$3:CX$14))</f>
        <v>0</v>
      </c>
      <c r="CY182" s="3">
        <f t="array" ref="CY182">SUMPRODUCT($J182:$U182,TRANSPOSE(CY$3:CY$14))</f>
        <v>0</v>
      </c>
      <c r="CZ182" s="3">
        <f t="array" ref="CZ182">SUMPRODUCT($J182:$U182,TRANSPOSE(CZ$3:CZ$14))</f>
        <v>0</v>
      </c>
      <c r="DA182" s="3">
        <f t="array" ref="DA182">SUMPRODUCT($J182:$U182,TRANSPOSE(DA$3:DA$14))</f>
        <v>0</v>
      </c>
      <c r="DB182" s="3">
        <f t="array" ref="DB182">SUMPRODUCT($J182:$U182,TRANSPOSE(DB$3:DB$14))</f>
        <v>0</v>
      </c>
      <c r="DC182" s="3">
        <f t="array" ref="DC182">SUMPRODUCT($J182:$U182,TRANSPOSE(DC$3:DC$14))</f>
        <v>0</v>
      </c>
      <c r="DD182" s="3">
        <f t="array" ref="DD182">SUMPRODUCT($J182:$U182,TRANSPOSE(DD$3:DD$14))</f>
        <v>0</v>
      </c>
      <c r="DE182" s="3">
        <f t="array" ref="DE182">SUMPRODUCT($J182:$U182,TRANSPOSE(DE$3:DE$14))</f>
        <v>0</v>
      </c>
    </row>
    <row r="183" spans="1:109" ht="13.5" thickBot="1" x14ac:dyDescent="0.25">
      <c r="A183" s="3">
        <v>712</v>
      </c>
      <c r="B183" s="9" t="s">
        <v>682</v>
      </c>
      <c r="C183" s="3" t="s">
        <v>16</v>
      </c>
      <c r="D183" s="3">
        <v>401484963</v>
      </c>
      <c r="E183" s="3">
        <v>401490612</v>
      </c>
      <c r="F183" s="3" t="s">
        <v>279</v>
      </c>
      <c r="G183" s="3" t="s">
        <v>14</v>
      </c>
      <c r="H183" s="3">
        <v>2</v>
      </c>
      <c r="I183" s="3">
        <v>28</v>
      </c>
      <c r="J183" s="3">
        <v>28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f t="shared" si="45"/>
        <v>28</v>
      </c>
      <c r="W183" s="3">
        <f t="shared" si="44"/>
        <v>3640</v>
      </c>
      <c r="X183" s="6" t="s">
        <v>280</v>
      </c>
      <c r="Y183" s="3">
        <v>0.32900000000000001</v>
      </c>
      <c r="Z183" s="3" t="s">
        <v>594</v>
      </c>
      <c r="AA183" s="3" t="s">
        <v>128</v>
      </c>
      <c r="AB183" s="3" t="s">
        <v>129</v>
      </c>
      <c r="AC183" s="23" t="s">
        <v>130</v>
      </c>
      <c r="BJ183" s="3">
        <f>SUM($AE183,$AF183:AH183)-SUM($CH183:CK183)</f>
        <v>0</v>
      </c>
      <c r="BK183" s="3">
        <f>SUM($AE183,$AF183:AI183)-SUM($CH183:CL183)</f>
        <v>0</v>
      </c>
      <c r="BL183" s="3">
        <f>SUM($AE183,$AF183:AJ183)-SUM($CH183:CM183)</f>
        <v>-280</v>
      </c>
      <c r="BM183" s="3">
        <f>SUM($AE183,$AF183:AK183)-SUM($CH183:CN183)</f>
        <v>-700</v>
      </c>
      <c r="BN183" s="3">
        <f>SUM($AE183,$AF183:AL183)-SUM($CH183:CO183)</f>
        <v>-1120</v>
      </c>
      <c r="BO183" s="3">
        <f>SUM($AE183,$AF183:AM183)-SUM($CH183:CP183)</f>
        <v>-1680</v>
      </c>
      <c r="BP183" s="3">
        <f>SUM($AE183,$AF183:AN183)-SUM($CH183:CQ183)</f>
        <v>-2240</v>
      </c>
      <c r="BQ183" s="3">
        <f>SUM($AE183,$AF183:AO183)-SUM($CH183:CR183)</f>
        <v>-2800</v>
      </c>
      <c r="BR183" s="3">
        <f>SUM($AE183,$AF183:AP183)-SUM($CH183:CS183)</f>
        <v>-3360</v>
      </c>
      <c r="BS183" s="3">
        <f>SUM($AE183,$AF183:AQ183)-SUM($CH183:CT183)</f>
        <v>-3640</v>
      </c>
      <c r="BT183" s="3">
        <f>SUM($AE183,$AF183:AR183)-SUM($CH183:CU183)</f>
        <v>-3640</v>
      </c>
      <c r="BU183" s="3">
        <f>SUM($AE183,$AF183:AS183)-SUM($CH183:CV183)</f>
        <v>-3640</v>
      </c>
      <c r="BV183" s="3">
        <f>SUM($AE183,$AF183:AT183)-SUM($CH183:CW183)</f>
        <v>-3640</v>
      </c>
      <c r="BW183" s="3">
        <f>SUM($AE183,$AF183:AU183)-SUM($CH183:CX183)</f>
        <v>-3640</v>
      </c>
      <c r="BX183" s="3">
        <f>SUM($AE183,$AF183:AV183)-SUM($CH183:CY183)</f>
        <v>-3640</v>
      </c>
      <c r="BY183" s="3">
        <f>SUM($AE183,$AF183:AW183)-SUM($CH183:CZ183)</f>
        <v>-3640</v>
      </c>
      <c r="BZ183" s="3">
        <f>SUM($AE183,$AF183:AX183)-SUM($CH183:DA183)</f>
        <v>-3640</v>
      </c>
      <c r="CA183" s="3">
        <f>SUM($AE183,$AF183:AY183)-SUM($CH183:DB183)</f>
        <v>-3640</v>
      </c>
      <c r="CB183" s="3">
        <f>SUM($AE183,$AF183:AZ183)-SUM($CH183:DC183)</f>
        <v>-3640</v>
      </c>
      <c r="CC183" s="3">
        <f>SUM($AE183,$AF183:BA183)-SUM($CH183:DD183)</f>
        <v>-3640</v>
      </c>
      <c r="CI183" s="3">
        <f t="array" ref="CI183">SUMPRODUCT($J183:$U183,TRANSPOSE(CI$3:CI$14))</f>
        <v>0</v>
      </c>
      <c r="CJ183" s="3">
        <f t="array" ref="CJ183">SUMPRODUCT($J183:$U183,TRANSPOSE(CJ$3:CJ$14))</f>
        <v>0</v>
      </c>
      <c r="CK183" s="3">
        <f t="array" ref="CK183">SUMPRODUCT($J183:$U183,TRANSPOSE(CK$3:CK$14))</f>
        <v>0</v>
      </c>
      <c r="CL183" s="3">
        <f t="array" ref="CL183">SUMPRODUCT($J183:$U183,TRANSPOSE(CL$3:CL$14))</f>
        <v>0</v>
      </c>
      <c r="CM183" s="3">
        <f t="array" ref="CM183">SUMPRODUCT($J183:$U183,TRANSPOSE(CM$3:CM$14))</f>
        <v>280</v>
      </c>
      <c r="CN183" s="3">
        <f t="array" ref="CN183">SUMPRODUCT($J183:$U183,TRANSPOSE(CN$3:CN$14))</f>
        <v>420</v>
      </c>
      <c r="CO183" s="3">
        <f t="array" ref="CO183">SUMPRODUCT($J183:$U183,TRANSPOSE(CO$3:CO$14))</f>
        <v>420</v>
      </c>
      <c r="CP183" s="3">
        <f t="array" ref="CP183">SUMPRODUCT($J183:$U183,TRANSPOSE(CP$3:CP$14))</f>
        <v>560</v>
      </c>
      <c r="CQ183" s="3">
        <f t="array" ref="CQ183">SUMPRODUCT($J183:$U183,TRANSPOSE(CQ$3:CQ$14))</f>
        <v>560</v>
      </c>
      <c r="CR183" s="3">
        <f t="array" ref="CR183">SUMPRODUCT($J183:$U183,TRANSPOSE(CR$3:CR$14))</f>
        <v>560</v>
      </c>
      <c r="CS183" s="3">
        <f t="array" ref="CS183">SUMPRODUCT($J183:$U183,TRANSPOSE(CS$3:CS$14))</f>
        <v>560</v>
      </c>
      <c r="CT183" s="3">
        <f t="array" ref="CT183">SUMPRODUCT($J183:$U183,TRANSPOSE(CT$3:CT$14))</f>
        <v>280</v>
      </c>
      <c r="CU183" s="3">
        <f t="array" ref="CU183">SUMPRODUCT($J183:$U183,TRANSPOSE(CU$3:CU$14))</f>
        <v>0</v>
      </c>
      <c r="CV183" s="3">
        <f t="array" ref="CV183">SUMPRODUCT($J183:$U183,TRANSPOSE(CV$3:CV$14))</f>
        <v>0</v>
      </c>
      <c r="CW183" s="3">
        <f t="array" ref="CW183">SUMPRODUCT($J183:$U183,TRANSPOSE(CW$3:CW$14))</f>
        <v>0</v>
      </c>
      <c r="CX183" s="3">
        <f t="array" ref="CX183">SUMPRODUCT($J183:$U183,TRANSPOSE(CX$3:CX$14))</f>
        <v>0</v>
      </c>
      <c r="CY183" s="3">
        <f t="array" ref="CY183">SUMPRODUCT($J183:$U183,TRANSPOSE(CY$3:CY$14))</f>
        <v>0</v>
      </c>
      <c r="CZ183" s="3">
        <f t="array" ref="CZ183">SUMPRODUCT($J183:$U183,TRANSPOSE(CZ$3:CZ$14))</f>
        <v>0</v>
      </c>
      <c r="DA183" s="3">
        <f t="array" ref="DA183">SUMPRODUCT($J183:$U183,TRANSPOSE(DA$3:DA$14))</f>
        <v>0</v>
      </c>
      <c r="DB183" s="3">
        <f t="array" ref="DB183">SUMPRODUCT($J183:$U183,TRANSPOSE(DB$3:DB$14))</f>
        <v>0</v>
      </c>
      <c r="DC183" s="3">
        <f t="array" ref="DC183">SUMPRODUCT($J183:$U183,TRANSPOSE(DC$3:DC$14))</f>
        <v>0</v>
      </c>
      <c r="DD183" s="3">
        <f t="array" ref="DD183">SUMPRODUCT($J183:$U183,TRANSPOSE(DD$3:DD$14))</f>
        <v>0</v>
      </c>
      <c r="DE183" s="3">
        <f t="array" ref="DE183">SUMPRODUCT($J183:$U183,TRANSPOSE(DE$3:DE$14))</f>
        <v>0</v>
      </c>
    </row>
    <row r="184" spans="1:109" ht="13.5" thickBot="1" x14ac:dyDescent="0.25">
      <c r="A184" s="3">
        <v>713</v>
      </c>
      <c r="B184" s="9" t="s">
        <v>307</v>
      </c>
      <c r="C184" s="3" t="s">
        <v>16</v>
      </c>
      <c r="D184" s="3">
        <v>541553780</v>
      </c>
      <c r="F184" s="3" t="s">
        <v>308</v>
      </c>
      <c r="G184" s="3" t="s">
        <v>14</v>
      </c>
      <c r="H184" s="3">
        <v>2</v>
      </c>
      <c r="I184" s="3">
        <v>4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4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f t="shared" si="45"/>
        <v>4</v>
      </c>
      <c r="W184" s="3">
        <f t="shared" si="44"/>
        <v>568</v>
      </c>
      <c r="X184" s="6" t="s">
        <v>280</v>
      </c>
      <c r="Y184" s="3">
        <v>8.5000000000000006E-2</v>
      </c>
      <c r="Z184" s="3" t="s">
        <v>594</v>
      </c>
      <c r="AA184" s="3" t="s">
        <v>128</v>
      </c>
      <c r="AB184" s="3" t="s">
        <v>129</v>
      </c>
      <c r="AC184" s="23" t="s">
        <v>130</v>
      </c>
      <c r="BJ184" s="3">
        <f>SUM($AE184,$AF184:AH184)-SUM($CH184:CK184)</f>
        <v>0</v>
      </c>
      <c r="BK184" s="3">
        <f>SUM($AE184,$AF184:AI184)-SUM($CH184:CL184)</f>
        <v>-40</v>
      </c>
      <c r="BL184" s="3">
        <f>SUM($AE184,$AF184:AJ184)-SUM($CH184:CM184)</f>
        <v>-100</v>
      </c>
      <c r="BM184" s="3">
        <f>SUM($AE184,$AF184:AK184)-SUM($CH184:CN184)</f>
        <v>-168</v>
      </c>
      <c r="BN184" s="3">
        <f>SUM($AE184,$AF184:AL184)-SUM($CH184:CO184)</f>
        <v>-248</v>
      </c>
      <c r="BO184" s="3">
        <f>SUM($AE184,$AF184:AM184)-SUM($CH184:CP184)</f>
        <v>-328</v>
      </c>
      <c r="BP184" s="3">
        <f>SUM($AE184,$AF184:AN184)-SUM($CH184:CQ184)</f>
        <v>-408</v>
      </c>
      <c r="BQ184" s="3">
        <f>SUM($AE184,$AF184:AO184)-SUM($CH184:CR184)</f>
        <v>-488</v>
      </c>
      <c r="BR184" s="3">
        <f>SUM($AE184,$AF184:AP184)-SUM($CH184:CS184)</f>
        <v>-568</v>
      </c>
      <c r="BS184" s="3">
        <f>SUM($AE184,$AF184:AQ184)-SUM($CH184:CT184)</f>
        <v>-568</v>
      </c>
      <c r="BT184" s="3">
        <f>SUM($AE184,$AF184:AR184)-SUM($CH184:CU184)</f>
        <v>-568</v>
      </c>
      <c r="BU184" s="3">
        <f>SUM($AE184,$AF184:AS184)-SUM($CH184:CV184)</f>
        <v>-568</v>
      </c>
      <c r="BV184" s="3">
        <f>SUM($AE184,$AF184:AT184)-SUM($CH184:CW184)</f>
        <v>-568</v>
      </c>
      <c r="BW184" s="3">
        <f>SUM($AE184,$AF184:AU184)-SUM($CH184:CX184)</f>
        <v>-568</v>
      </c>
      <c r="BX184" s="3">
        <f>SUM($AE184,$AF184:AV184)-SUM($CH184:CY184)</f>
        <v>-568</v>
      </c>
      <c r="BY184" s="3">
        <f>SUM($AE184,$AF184:AW184)-SUM($CH184:CZ184)</f>
        <v>-568</v>
      </c>
      <c r="BZ184" s="3">
        <f>SUM($AE184,$AF184:AX184)-SUM($CH184:DA184)</f>
        <v>-568</v>
      </c>
      <c r="CA184" s="3">
        <f>SUM($AE184,$AF184:AY184)-SUM($CH184:DB184)</f>
        <v>-568</v>
      </c>
      <c r="CB184" s="3">
        <f>SUM($AE184,$AF184:AZ184)-SUM($CH184:DC184)</f>
        <v>-568</v>
      </c>
      <c r="CC184" s="3">
        <f>SUM($AE184,$AF184:BA184)-SUM($CH184:DD184)</f>
        <v>-568</v>
      </c>
      <c r="CI184" s="3">
        <f t="array" ref="CI184">SUMPRODUCT($J184:$U184,TRANSPOSE(CI$3:CI$14))</f>
        <v>0</v>
      </c>
      <c r="CJ184" s="3">
        <f t="array" ref="CJ184">SUMPRODUCT($J184:$U184,TRANSPOSE(CJ$3:CJ$14))</f>
        <v>0</v>
      </c>
      <c r="CK184" s="3">
        <f t="array" ref="CK184">SUMPRODUCT($J184:$U184,TRANSPOSE(CK$3:CK$14))</f>
        <v>0</v>
      </c>
      <c r="CL184" s="3">
        <f t="array" ref="CL184">SUMPRODUCT($J184:$U184,TRANSPOSE(CL$3:CL$14))</f>
        <v>40</v>
      </c>
      <c r="CM184" s="3">
        <f t="array" ref="CM184">SUMPRODUCT($J184:$U184,TRANSPOSE(CM$3:CM$14))</f>
        <v>60</v>
      </c>
      <c r="CN184" s="3">
        <f t="array" ref="CN184">SUMPRODUCT($J184:$U184,TRANSPOSE(CN$3:CN$14))</f>
        <v>68</v>
      </c>
      <c r="CO184" s="3">
        <f t="array" ref="CO184">SUMPRODUCT($J184:$U184,TRANSPOSE(CO$3:CO$14))</f>
        <v>80</v>
      </c>
      <c r="CP184" s="3">
        <f t="array" ref="CP184">SUMPRODUCT($J184:$U184,TRANSPOSE(CP$3:CP$14))</f>
        <v>80</v>
      </c>
      <c r="CQ184" s="3">
        <f t="array" ref="CQ184">SUMPRODUCT($J184:$U184,TRANSPOSE(CQ$3:CQ$14))</f>
        <v>80</v>
      </c>
      <c r="CR184" s="3">
        <f t="array" ref="CR184">SUMPRODUCT($J184:$U184,TRANSPOSE(CR$3:CR$14))</f>
        <v>80</v>
      </c>
      <c r="CS184" s="3">
        <f t="array" ref="CS184">SUMPRODUCT($J184:$U184,TRANSPOSE(CS$3:CS$14))</f>
        <v>80</v>
      </c>
      <c r="CT184" s="3">
        <f t="array" ref="CT184">SUMPRODUCT($J184:$U184,TRANSPOSE(CT$3:CT$14))</f>
        <v>0</v>
      </c>
      <c r="CU184" s="3">
        <f t="array" ref="CU184">SUMPRODUCT($J184:$U184,TRANSPOSE(CU$3:CU$14))</f>
        <v>0</v>
      </c>
      <c r="CV184" s="3">
        <f t="array" ref="CV184">SUMPRODUCT($J184:$U184,TRANSPOSE(CV$3:CV$14))</f>
        <v>0</v>
      </c>
      <c r="CW184" s="3">
        <f t="array" ref="CW184">SUMPRODUCT($J184:$U184,TRANSPOSE(CW$3:CW$14))</f>
        <v>0</v>
      </c>
      <c r="CX184" s="3">
        <f t="array" ref="CX184">SUMPRODUCT($J184:$U184,TRANSPOSE(CX$3:CX$14))</f>
        <v>0</v>
      </c>
      <c r="CY184" s="3">
        <f t="array" ref="CY184">SUMPRODUCT($J184:$U184,TRANSPOSE(CY$3:CY$14))</f>
        <v>0</v>
      </c>
      <c r="CZ184" s="3">
        <f t="array" ref="CZ184">SUMPRODUCT($J184:$U184,TRANSPOSE(CZ$3:CZ$14))</f>
        <v>0</v>
      </c>
      <c r="DA184" s="3">
        <f t="array" ref="DA184">SUMPRODUCT($J184:$U184,TRANSPOSE(DA$3:DA$14))</f>
        <v>0</v>
      </c>
      <c r="DB184" s="3">
        <f t="array" ref="DB184">SUMPRODUCT($J184:$U184,TRANSPOSE(DB$3:DB$14))</f>
        <v>0</v>
      </c>
      <c r="DC184" s="3">
        <f t="array" ref="DC184">SUMPRODUCT($J184:$U184,TRANSPOSE(DC$3:DC$14))</f>
        <v>0</v>
      </c>
      <c r="DD184" s="3">
        <f t="array" ref="DD184">SUMPRODUCT($J184:$U184,TRANSPOSE(DD$3:DD$14))</f>
        <v>0</v>
      </c>
      <c r="DE184" s="3">
        <f t="array" ref="DE184">SUMPRODUCT($J184:$U184,TRANSPOSE(DE$3:DE$14))</f>
        <v>0</v>
      </c>
    </row>
    <row r="185" spans="1:109" ht="13.5" thickBot="1" x14ac:dyDescent="0.25">
      <c r="A185" s="3">
        <v>714</v>
      </c>
      <c r="B185" s="9" t="s">
        <v>683</v>
      </c>
      <c r="C185" s="3" t="s">
        <v>16</v>
      </c>
      <c r="D185" s="3">
        <v>514200666</v>
      </c>
      <c r="F185" s="3" t="s">
        <v>684</v>
      </c>
      <c r="G185" s="3" t="s">
        <v>14</v>
      </c>
      <c r="H185" s="3">
        <v>2</v>
      </c>
      <c r="I185" s="3">
        <v>8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8</v>
      </c>
      <c r="U185" s="3">
        <v>0</v>
      </c>
      <c r="V185" s="3">
        <f t="shared" si="45"/>
        <v>8</v>
      </c>
      <c r="W185" s="3">
        <f t="shared" si="44"/>
        <v>1160</v>
      </c>
      <c r="X185" s="6" t="s">
        <v>280</v>
      </c>
      <c r="Y185" s="3">
        <v>0.03</v>
      </c>
      <c r="Z185" s="3" t="s">
        <v>594</v>
      </c>
      <c r="AA185" s="3" t="s">
        <v>128</v>
      </c>
      <c r="AB185" s="3" t="s">
        <v>129</v>
      </c>
      <c r="AC185" s="23" t="s">
        <v>130</v>
      </c>
      <c r="BJ185" s="3">
        <f>SUM($AE185,$AF185:AH185)-SUM($CH185:CK185)</f>
        <v>0</v>
      </c>
      <c r="BK185" s="3">
        <f>SUM($AE185,$AF185:AI185)-SUM($CH185:CL185)</f>
        <v>-80</v>
      </c>
      <c r="BL185" s="3">
        <f>SUM($AE185,$AF185:AJ185)-SUM($CH185:CM185)</f>
        <v>-200</v>
      </c>
      <c r="BM185" s="3">
        <f>SUM($AE185,$AF185:AK185)-SUM($CH185:CN185)</f>
        <v>-360</v>
      </c>
      <c r="BN185" s="3">
        <f>SUM($AE185,$AF185:AL185)-SUM($CH185:CO185)</f>
        <v>-520</v>
      </c>
      <c r="BO185" s="3">
        <f>SUM($AE185,$AF185:AM185)-SUM($CH185:CP185)</f>
        <v>-680</v>
      </c>
      <c r="BP185" s="3">
        <f>SUM($AE185,$AF185:AN185)-SUM($CH185:CQ185)</f>
        <v>-840</v>
      </c>
      <c r="BQ185" s="3">
        <f>SUM($AE185,$AF185:AO185)-SUM($CH185:CR185)</f>
        <v>-1000</v>
      </c>
      <c r="BR185" s="3">
        <f>SUM($AE185,$AF185:AP185)-SUM($CH185:CS185)</f>
        <v>-1160</v>
      </c>
      <c r="BS185" s="3">
        <f>SUM($AE185,$AF185:AQ185)-SUM($CH185:CT185)</f>
        <v>-1160</v>
      </c>
      <c r="BT185" s="3">
        <f>SUM($AE185,$AF185:AR185)-SUM($CH185:CU185)</f>
        <v>-1160</v>
      </c>
      <c r="BU185" s="3">
        <f>SUM($AE185,$AF185:AS185)-SUM($CH185:CV185)</f>
        <v>-1160</v>
      </c>
      <c r="BV185" s="3">
        <f>SUM($AE185,$AF185:AT185)-SUM($CH185:CW185)</f>
        <v>-1160</v>
      </c>
      <c r="BW185" s="3">
        <f>SUM($AE185,$AF185:AU185)-SUM($CH185:CX185)</f>
        <v>-1160</v>
      </c>
      <c r="BX185" s="3">
        <f>SUM($AE185,$AF185:AV185)-SUM($CH185:CY185)</f>
        <v>-1160</v>
      </c>
      <c r="BY185" s="3">
        <f>SUM($AE185,$AF185:AW185)-SUM($CH185:CZ185)</f>
        <v>-1160</v>
      </c>
      <c r="BZ185" s="3">
        <f>SUM($AE185,$AF185:AX185)-SUM($CH185:DA185)</f>
        <v>-1160</v>
      </c>
      <c r="CA185" s="3">
        <f>SUM($AE185,$AF185:AY185)-SUM($CH185:DB185)</f>
        <v>-1160</v>
      </c>
      <c r="CB185" s="3">
        <f>SUM($AE185,$AF185:AZ185)-SUM($CH185:DC185)</f>
        <v>-1160</v>
      </c>
      <c r="CC185" s="3">
        <f>SUM($AE185,$AF185:BA185)-SUM($CH185:DD185)</f>
        <v>-1160</v>
      </c>
      <c r="CI185" s="3">
        <f t="array" ref="CI185">SUMPRODUCT($J185:$U185,TRANSPOSE(CI$3:CI$14))</f>
        <v>0</v>
      </c>
      <c r="CJ185" s="3">
        <f t="array" ref="CJ185">SUMPRODUCT($J185:$U185,TRANSPOSE(CJ$3:CJ$14))</f>
        <v>0</v>
      </c>
      <c r="CK185" s="3">
        <f t="array" ref="CK185">SUMPRODUCT($J185:$U185,TRANSPOSE(CK$3:CK$14))</f>
        <v>0</v>
      </c>
      <c r="CL185" s="3">
        <f t="array" ref="CL185">SUMPRODUCT($J185:$U185,TRANSPOSE(CL$3:CL$14))</f>
        <v>80</v>
      </c>
      <c r="CM185" s="3">
        <f t="array" ref="CM185">SUMPRODUCT($J185:$U185,TRANSPOSE(CM$3:CM$14))</f>
        <v>120</v>
      </c>
      <c r="CN185" s="3">
        <f t="array" ref="CN185">SUMPRODUCT($J185:$U185,TRANSPOSE(CN$3:CN$14))</f>
        <v>160</v>
      </c>
      <c r="CO185" s="3">
        <f t="array" ref="CO185">SUMPRODUCT($J185:$U185,TRANSPOSE(CO$3:CO$14))</f>
        <v>160</v>
      </c>
      <c r="CP185" s="3">
        <f t="array" ref="CP185">SUMPRODUCT($J185:$U185,TRANSPOSE(CP$3:CP$14))</f>
        <v>160</v>
      </c>
      <c r="CQ185" s="3">
        <f t="array" ref="CQ185">SUMPRODUCT($J185:$U185,TRANSPOSE(CQ$3:CQ$14))</f>
        <v>160</v>
      </c>
      <c r="CR185" s="3">
        <f t="array" ref="CR185">SUMPRODUCT($J185:$U185,TRANSPOSE(CR$3:CR$14))</f>
        <v>160</v>
      </c>
      <c r="CS185" s="3">
        <f t="array" ref="CS185">SUMPRODUCT($J185:$U185,TRANSPOSE(CS$3:CS$14))</f>
        <v>160</v>
      </c>
      <c r="CT185" s="3">
        <f t="array" ref="CT185">SUMPRODUCT($J185:$U185,TRANSPOSE(CT$3:CT$14))</f>
        <v>0</v>
      </c>
      <c r="CU185" s="3">
        <f t="array" ref="CU185">SUMPRODUCT($J185:$U185,TRANSPOSE(CU$3:CU$14))</f>
        <v>0</v>
      </c>
      <c r="CV185" s="3">
        <f t="array" ref="CV185">SUMPRODUCT($J185:$U185,TRANSPOSE(CV$3:CV$14))</f>
        <v>0</v>
      </c>
      <c r="CW185" s="3">
        <f t="array" ref="CW185">SUMPRODUCT($J185:$U185,TRANSPOSE(CW$3:CW$14))</f>
        <v>0</v>
      </c>
      <c r="CX185" s="3">
        <f t="array" ref="CX185">SUMPRODUCT($J185:$U185,TRANSPOSE(CX$3:CX$14))</f>
        <v>0</v>
      </c>
      <c r="CY185" s="3">
        <f t="array" ref="CY185">SUMPRODUCT($J185:$U185,TRANSPOSE(CY$3:CY$14))</f>
        <v>0</v>
      </c>
      <c r="CZ185" s="3">
        <f t="array" ref="CZ185">SUMPRODUCT($J185:$U185,TRANSPOSE(CZ$3:CZ$14))</f>
        <v>0</v>
      </c>
      <c r="DA185" s="3">
        <f t="array" ref="DA185">SUMPRODUCT($J185:$U185,TRANSPOSE(DA$3:DA$14))</f>
        <v>0</v>
      </c>
      <c r="DB185" s="3">
        <f t="array" ref="DB185">SUMPRODUCT($J185:$U185,TRANSPOSE(DB$3:DB$14))</f>
        <v>0</v>
      </c>
      <c r="DC185" s="3">
        <f t="array" ref="DC185">SUMPRODUCT($J185:$U185,TRANSPOSE(DC$3:DC$14))</f>
        <v>0</v>
      </c>
      <c r="DD185" s="3">
        <f t="array" ref="DD185">SUMPRODUCT($J185:$U185,TRANSPOSE(DD$3:DD$14))</f>
        <v>0</v>
      </c>
      <c r="DE185" s="3">
        <f t="array" ref="DE185">SUMPRODUCT($J185:$U185,TRANSPOSE(DE$3:DE$14))</f>
        <v>0</v>
      </c>
    </row>
    <row r="186" spans="1:109" ht="13.5" thickBot="1" x14ac:dyDescent="0.25">
      <c r="A186" s="3">
        <v>715</v>
      </c>
      <c r="B186" s="9" t="s">
        <v>685</v>
      </c>
      <c r="C186" s="3" t="s">
        <v>16</v>
      </c>
      <c r="D186" s="3">
        <v>514200492</v>
      </c>
      <c r="F186" s="3" t="s">
        <v>686</v>
      </c>
      <c r="G186" s="3" t="s">
        <v>14</v>
      </c>
      <c r="H186" s="3">
        <v>2</v>
      </c>
      <c r="I186" s="3">
        <v>24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24</v>
      </c>
      <c r="U186" s="3">
        <v>0</v>
      </c>
      <c r="V186" s="3">
        <f t="shared" si="45"/>
        <v>24</v>
      </c>
      <c r="W186" s="3">
        <f t="shared" si="44"/>
        <v>3480</v>
      </c>
      <c r="X186" s="6" t="s">
        <v>280</v>
      </c>
      <c r="Y186" s="3">
        <v>2.1999999999999999E-2</v>
      </c>
      <c r="Z186" s="3" t="s">
        <v>594</v>
      </c>
      <c r="AA186" s="3" t="s">
        <v>128</v>
      </c>
      <c r="AB186" s="3" t="s">
        <v>129</v>
      </c>
      <c r="AC186" s="23" t="s">
        <v>130</v>
      </c>
      <c r="BJ186" s="3">
        <f>SUM($AE186,$AF186:AH186)-SUM($CH186:CK186)</f>
        <v>0</v>
      </c>
      <c r="BK186" s="3">
        <f>SUM($AE186,$AF186:AI186)-SUM($CH186:CL186)</f>
        <v>-240</v>
      </c>
      <c r="BL186" s="3">
        <f>SUM($AE186,$AF186:AJ186)-SUM($CH186:CM186)</f>
        <v>-600</v>
      </c>
      <c r="BM186" s="3">
        <f>SUM($AE186,$AF186:AK186)-SUM($CH186:CN186)</f>
        <v>-1080</v>
      </c>
      <c r="BN186" s="3">
        <f>SUM($AE186,$AF186:AL186)-SUM($CH186:CO186)</f>
        <v>-1560</v>
      </c>
      <c r="BO186" s="3">
        <f>SUM($AE186,$AF186:AM186)-SUM($CH186:CP186)</f>
        <v>-2040</v>
      </c>
      <c r="BP186" s="3">
        <f>SUM($AE186,$AF186:AN186)-SUM($CH186:CQ186)</f>
        <v>-2520</v>
      </c>
      <c r="BQ186" s="3">
        <f>SUM($AE186,$AF186:AO186)-SUM($CH186:CR186)</f>
        <v>-3000</v>
      </c>
      <c r="BR186" s="3">
        <f>SUM($AE186,$AF186:AP186)-SUM($CH186:CS186)</f>
        <v>-3480</v>
      </c>
      <c r="BS186" s="3">
        <f>SUM($AE186,$AF186:AQ186)-SUM($CH186:CT186)</f>
        <v>-3480</v>
      </c>
      <c r="BT186" s="3">
        <f>SUM($AE186,$AF186:AR186)-SUM($CH186:CU186)</f>
        <v>-3480</v>
      </c>
      <c r="BU186" s="3">
        <f>SUM($AE186,$AF186:AS186)-SUM($CH186:CV186)</f>
        <v>-3480</v>
      </c>
      <c r="BV186" s="3">
        <f>SUM($AE186,$AF186:AT186)-SUM($CH186:CW186)</f>
        <v>-3480</v>
      </c>
      <c r="BW186" s="3">
        <f>SUM($AE186,$AF186:AU186)-SUM($CH186:CX186)</f>
        <v>-3480</v>
      </c>
      <c r="BX186" s="3">
        <f>SUM($AE186,$AF186:AV186)-SUM($CH186:CY186)</f>
        <v>-3480</v>
      </c>
      <c r="BY186" s="3">
        <f>SUM($AE186,$AF186:AW186)-SUM($CH186:CZ186)</f>
        <v>-3480</v>
      </c>
      <c r="BZ186" s="3">
        <f>SUM($AE186,$AF186:AX186)-SUM($CH186:DA186)</f>
        <v>-3480</v>
      </c>
      <c r="CA186" s="3">
        <f>SUM($AE186,$AF186:AY186)-SUM($CH186:DB186)</f>
        <v>-3480</v>
      </c>
      <c r="CB186" s="3">
        <f>SUM($AE186,$AF186:AZ186)-SUM($CH186:DC186)</f>
        <v>-3480</v>
      </c>
      <c r="CC186" s="3">
        <f>SUM($AE186,$AF186:BA186)-SUM($CH186:DD186)</f>
        <v>-3480</v>
      </c>
      <c r="CI186" s="3">
        <f t="array" ref="CI186">SUMPRODUCT($J186:$U186,TRANSPOSE(CI$3:CI$14))</f>
        <v>0</v>
      </c>
      <c r="CJ186" s="3">
        <f t="array" ref="CJ186">SUMPRODUCT($J186:$U186,TRANSPOSE(CJ$3:CJ$14))</f>
        <v>0</v>
      </c>
      <c r="CK186" s="3">
        <f t="array" ref="CK186">SUMPRODUCT($J186:$U186,TRANSPOSE(CK$3:CK$14))</f>
        <v>0</v>
      </c>
      <c r="CL186" s="3">
        <f t="array" ref="CL186">SUMPRODUCT($J186:$U186,TRANSPOSE(CL$3:CL$14))</f>
        <v>240</v>
      </c>
      <c r="CM186" s="3">
        <f t="array" ref="CM186">SUMPRODUCT($J186:$U186,TRANSPOSE(CM$3:CM$14))</f>
        <v>360</v>
      </c>
      <c r="CN186" s="3">
        <f t="array" ref="CN186">SUMPRODUCT($J186:$U186,TRANSPOSE(CN$3:CN$14))</f>
        <v>480</v>
      </c>
      <c r="CO186" s="3">
        <f t="array" ref="CO186">SUMPRODUCT($J186:$U186,TRANSPOSE(CO$3:CO$14))</f>
        <v>480</v>
      </c>
      <c r="CP186" s="3">
        <f t="array" ref="CP186">SUMPRODUCT($J186:$U186,TRANSPOSE(CP$3:CP$14))</f>
        <v>480</v>
      </c>
      <c r="CQ186" s="3">
        <f t="array" ref="CQ186">SUMPRODUCT($J186:$U186,TRANSPOSE(CQ$3:CQ$14))</f>
        <v>480</v>
      </c>
      <c r="CR186" s="3">
        <f t="array" ref="CR186">SUMPRODUCT($J186:$U186,TRANSPOSE(CR$3:CR$14))</f>
        <v>480</v>
      </c>
      <c r="CS186" s="3">
        <f t="array" ref="CS186">SUMPRODUCT($J186:$U186,TRANSPOSE(CS$3:CS$14))</f>
        <v>480</v>
      </c>
      <c r="CT186" s="3">
        <f t="array" ref="CT186">SUMPRODUCT($J186:$U186,TRANSPOSE(CT$3:CT$14))</f>
        <v>0</v>
      </c>
      <c r="CU186" s="3">
        <f t="array" ref="CU186">SUMPRODUCT($J186:$U186,TRANSPOSE(CU$3:CU$14))</f>
        <v>0</v>
      </c>
      <c r="CV186" s="3">
        <f t="array" ref="CV186">SUMPRODUCT($J186:$U186,TRANSPOSE(CV$3:CV$14))</f>
        <v>0</v>
      </c>
      <c r="CW186" s="3">
        <f t="array" ref="CW186">SUMPRODUCT($J186:$U186,TRANSPOSE(CW$3:CW$14))</f>
        <v>0</v>
      </c>
      <c r="CX186" s="3">
        <f t="array" ref="CX186">SUMPRODUCT($J186:$U186,TRANSPOSE(CX$3:CX$14))</f>
        <v>0</v>
      </c>
      <c r="CY186" s="3">
        <f t="array" ref="CY186">SUMPRODUCT($J186:$U186,TRANSPOSE(CY$3:CY$14))</f>
        <v>0</v>
      </c>
      <c r="CZ186" s="3">
        <f t="array" ref="CZ186">SUMPRODUCT($J186:$U186,TRANSPOSE(CZ$3:CZ$14))</f>
        <v>0</v>
      </c>
      <c r="DA186" s="3">
        <f t="array" ref="DA186">SUMPRODUCT($J186:$U186,TRANSPOSE(DA$3:DA$14))</f>
        <v>0</v>
      </c>
      <c r="DB186" s="3">
        <f t="array" ref="DB186">SUMPRODUCT($J186:$U186,TRANSPOSE(DB$3:DB$14))</f>
        <v>0</v>
      </c>
      <c r="DC186" s="3">
        <f t="array" ref="DC186">SUMPRODUCT($J186:$U186,TRANSPOSE(DC$3:DC$14))</f>
        <v>0</v>
      </c>
      <c r="DD186" s="3">
        <f t="array" ref="DD186">SUMPRODUCT($J186:$U186,TRANSPOSE(DD$3:DD$14))</f>
        <v>0</v>
      </c>
      <c r="DE186" s="3">
        <f t="array" ref="DE186">SUMPRODUCT($J186:$U186,TRANSPOSE(DE$3:DE$14))</f>
        <v>0</v>
      </c>
    </row>
    <row r="187" spans="1:109" ht="13.5" thickBot="1" x14ac:dyDescent="0.25">
      <c r="A187" s="3">
        <v>716</v>
      </c>
      <c r="B187" s="9" t="s">
        <v>309</v>
      </c>
      <c r="C187" s="3" t="s">
        <v>16</v>
      </c>
      <c r="D187" s="3">
        <v>514201177</v>
      </c>
      <c r="F187" s="3" t="s">
        <v>310</v>
      </c>
      <c r="G187" s="3" t="s">
        <v>14</v>
      </c>
      <c r="H187" s="3">
        <v>2</v>
      </c>
      <c r="I187" s="3">
        <v>772</v>
      </c>
      <c r="J187" s="3">
        <v>2</v>
      </c>
      <c r="K187" s="3">
        <v>252</v>
      </c>
      <c r="L187" s="3">
        <v>0</v>
      </c>
      <c r="M187" s="3">
        <v>0</v>
      </c>
      <c r="N187" s="3">
        <v>232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f t="shared" si="45"/>
        <v>486</v>
      </c>
      <c r="W187" s="3">
        <f t="shared" si="44"/>
        <v>63180</v>
      </c>
      <c r="X187" s="6" t="s">
        <v>280</v>
      </c>
      <c r="Y187" s="3">
        <v>1.9E-2</v>
      </c>
      <c r="Z187" s="3" t="s">
        <v>594</v>
      </c>
      <c r="AA187" s="3" t="s">
        <v>128</v>
      </c>
      <c r="AB187" s="3" t="s">
        <v>129</v>
      </c>
      <c r="AC187" s="23" t="s">
        <v>130</v>
      </c>
      <c r="BJ187" s="3">
        <f>SUM($AE187,$AF187:AH187)-SUM($CH187:CK187)</f>
        <v>0</v>
      </c>
      <c r="BK187" s="3">
        <f>SUM($AE187,$AF187:AI187)-SUM($CH187:CL187)</f>
        <v>-4840</v>
      </c>
      <c r="BL187" s="3">
        <f>SUM($AE187,$AF187:AJ187)-SUM($CH187:CM187)</f>
        <v>-12120</v>
      </c>
      <c r="BM187" s="3">
        <f>SUM($AE187,$AF187:AK187)-SUM($CH187:CN187)</f>
        <v>-19410</v>
      </c>
      <c r="BN187" s="3">
        <f>SUM($AE187,$AF187:AL187)-SUM($CH187:CO187)</f>
        <v>-29120</v>
      </c>
      <c r="BO187" s="3">
        <f>SUM($AE187,$AF187:AM187)-SUM($CH187:CP187)</f>
        <v>-38840</v>
      </c>
      <c r="BP187" s="3">
        <f>SUM($AE187,$AF187:AN187)-SUM($CH187:CQ187)</f>
        <v>-48560</v>
      </c>
      <c r="BQ187" s="3">
        <f>SUM($AE187,$AF187:AO187)-SUM($CH187:CR187)</f>
        <v>-58280</v>
      </c>
      <c r="BR187" s="3">
        <f>SUM($AE187,$AF187:AP187)-SUM($CH187:CS187)</f>
        <v>-63160</v>
      </c>
      <c r="BS187" s="3">
        <f>SUM($AE187,$AF187:AQ187)-SUM($CH187:CT187)</f>
        <v>-63180</v>
      </c>
      <c r="BT187" s="3">
        <f>SUM($AE187,$AF187:AR187)-SUM($CH187:CU187)</f>
        <v>-63180</v>
      </c>
      <c r="BU187" s="3">
        <f>SUM($AE187,$AF187:AS187)-SUM($CH187:CV187)</f>
        <v>-63180</v>
      </c>
      <c r="BV187" s="3">
        <f>SUM($AE187,$AF187:AT187)-SUM($CH187:CW187)</f>
        <v>-63180</v>
      </c>
      <c r="BW187" s="3">
        <f>SUM($AE187,$AF187:AU187)-SUM($CH187:CX187)</f>
        <v>-63180</v>
      </c>
      <c r="BX187" s="3">
        <f>SUM($AE187,$AF187:AV187)-SUM($CH187:CY187)</f>
        <v>-63180</v>
      </c>
      <c r="BY187" s="3">
        <f>SUM($AE187,$AF187:AW187)-SUM($CH187:CZ187)</f>
        <v>-63180</v>
      </c>
      <c r="BZ187" s="3">
        <f>SUM($AE187,$AF187:AX187)-SUM($CH187:DA187)</f>
        <v>-63180</v>
      </c>
      <c r="CA187" s="3">
        <f>SUM($AE187,$AF187:AY187)-SUM($CH187:DB187)</f>
        <v>-63180</v>
      </c>
      <c r="CB187" s="3">
        <f>SUM($AE187,$AF187:AZ187)-SUM($CH187:DC187)</f>
        <v>-63180</v>
      </c>
      <c r="CC187" s="3">
        <f>SUM($AE187,$AF187:BA187)-SUM($CH187:DD187)</f>
        <v>-63180</v>
      </c>
      <c r="CI187" s="3">
        <f t="array" ref="CI187">SUMPRODUCT($J187:$U187,TRANSPOSE(CI$3:CI$14))</f>
        <v>0</v>
      </c>
      <c r="CJ187" s="3">
        <f t="array" ref="CJ187">SUMPRODUCT($J187:$U187,TRANSPOSE(CJ$3:CJ$14))</f>
        <v>0</v>
      </c>
      <c r="CK187" s="3">
        <f t="array" ref="CK187">SUMPRODUCT($J187:$U187,TRANSPOSE(CK$3:CK$14))</f>
        <v>0</v>
      </c>
      <c r="CL187" s="3">
        <f t="array" ref="CL187">SUMPRODUCT($J187:$U187,TRANSPOSE(CL$3:CL$14))</f>
        <v>4840</v>
      </c>
      <c r="CM187" s="3">
        <f t="array" ref="CM187">SUMPRODUCT($J187:$U187,TRANSPOSE(CM$3:CM$14))</f>
        <v>7280</v>
      </c>
      <c r="CN187" s="3">
        <f t="array" ref="CN187">SUMPRODUCT($J187:$U187,TRANSPOSE(CN$3:CN$14))</f>
        <v>7290</v>
      </c>
      <c r="CO187" s="3">
        <f t="array" ref="CO187">SUMPRODUCT($J187:$U187,TRANSPOSE(CO$3:CO$14))</f>
        <v>9710</v>
      </c>
      <c r="CP187" s="3">
        <f t="array" ref="CP187">SUMPRODUCT($J187:$U187,TRANSPOSE(CP$3:CP$14))</f>
        <v>9720</v>
      </c>
      <c r="CQ187" s="3">
        <f t="array" ref="CQ187">SUMPRODUCT($J187:$U187,TRANSPOSE(CQ$3:CQ$14))</f>
        <v>9720</v>
      </c>
      <c r="CR187" s="3">
        <f t="array" ref="CR187">SUMPRODUCT($J187:$U187,TRANSPOSE(CR$3:CR$14))</f>
        <v>9720</v>
      </c>
      <c r="CS187" s="3">
        <f t="array" ref="CS187">SUMPRODUCT($J187:$U187,TRANSPOSE(CS$3:CS$14))</f>
        <v>4880</v>
      </c>
      <c r="CT187" s="3">
        <f t="array" ref="CT187">SUMPRODUCT($J187:$U187,TRANSPOSE(CT$3:CT$14))</f>
        <v>20</v>
      </c>
      <c r="CU187" s="3">
        <f t="array" ref="CU187">SUMPRODUCT($J187:$U187,TRANSPOSE(CU$3:CU$14))</f>
        <v>0</v>
      </c>
      <c r="CV187" s="3">
        <f t="array" ref="CV187">SUMPRODUCT($J187:$U187,TRANSPOSE(CV$3:CV$14))</f>
        <v>0</v>
      </c>
      <c r="CW187" s="3">
        <f t="array" ref="CW187">SUMPRODUCT($J187:$U187,TRANSPOSE(CW$3:CW$14))</f>
        <v>0</v>
      </c>
      <c r="CX187" s="3">
        <f t="array" ref="CX187">SUMPRODUCT($J187:$U187,TRANSPOSE(CX$3:CX$14))</f>
        <v>0</v>
      </c>
      <c r="CY187" s="3">
        <f t="array" ref="CY187">SUMPRODUCT($J187:$U187,TRANSPOSE(CY$3:CY$14))</f>
        <v>0</v>
      </c>
      <c r="CZ187" s="3">
        <f t="array" ref="CZ187">SUMPRODUCT($J187:$U187,TRANSPOSE(CZ$3:CZ$14))</f>
        <v>0</v>
      </c>
      <c r="DA187" s="3">
        <f t="array" ref="DA187">SUMPRODUCT($J187:$U187,TRANSPOSE(DA$3:DA$14))</f>
        <v>0</v>
      </c>
      <c r="DB187" s="3">
        <f t="array" ref="DB187">SUMPRODUCT($J187:$U187,TRANSPOSE(DB$3:DB$14))</f>
        <v>0</v>
      </c>
      <c r="DC187" s="3">
        <f t="array" ref="DC187">SUMPRODUCT($J187:$U187,TRANSPOSE(DC$3:DC$14))</f>
        <v>0</v>
      </c>
      <c r="DD187" s="3">
        <f t="array" ref="DD187">SUMPRODUCT($J187:$U187,TRANSPOSE(DD$3:DD$14))</f>
        <v>0</v>
      </c>
      <c r="DE187" s="3">
        <f t="array" ref="DE187">SUMPRODUCT($J187:$U187,TRANSPOSE(DE$3:DE$14))</f>
        <v>0</v>
      </c>
    </row>
    <row r="188" spans="1:109" ht="13.5" thickBot="1" x14ac:dyDescent="0.25">
      <c r="A188" s="3">
        <v>717</v>
      </c>
      <c r="B188" s="9" t="s">
        <v>311</v>
      </c>
      <c r="C188" s="3" t="s">
        <v>16</v>
      </c>
      <c r="D188" s="3">
        <v>514200799</v>
      </c>
      <c r="F188" s="3" t="s">
        <v>312</v>
      </c>
      <c r="G188" s="3" t="s">
        <v>14</v>
      </c>
      <c r="H188" s="3">
        <v>2</v>
      </c>
      <c r="I188" s="3">
        <v>277</v>
      </c>
      <c r="J188" s="3">
        <v>44</v>
      </c>
      <c r="K188" s="3">
        <v>63</v>
      </c>
      <c r="L188" s="3">
        <v>16</v>
      </c>
      <c r="M188" s="3">
        <v>0</v>
      </c>
      <c r="N188" s="3">
        <v>64</v>
      </c>
      <c r="O188" s="3">
        <v>16</v>
      </c>
      <c r="P188" s="3">
        <v>4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f t="shared" si="45"/>
        <v>207</v>
      </c>
      <c r="W188" s="3">
        <f t="shared" si="44"/>
        <v>26958</v>
      </c>
      <c r="X188" s="6" t="s">
        <v>280</v>
      </c>
      <c r="Y188" s="3">
        <v>1.7999999999999999E-2</v>
      </c>
      <c r="Z188" s="3" t="s">
        <v>594</v>
      </c>
      <c r="AA188" s="3" t="s">
        <v>128</v>
      </c>
      <c r="AB188" s="3" t="s">
        <v>129</v>
      </c>
      <c r="AC188" s="23" t="s">
        <v>130</v>
      </c>
      <c r="BJ188" s="3">
        <f>SUM($AE188,$AF188:AH188)-SUM($CH188:CK188)</f>
        <v>-320</v>
      </c>
      <c r="BK188" s="3">
        <f>SUM($AE188,$AF188:AI188)-SUM($CH188:CL188)</f>
        <v>-2110</v>
      </c>
      <c r="BL188" s="3">
        <f>SUM($AE188,$AF188:AJ188)-SUM($CH188:CM188)</f>
        <v>-4995</v>
      </c>
      <c r="BM188" s="3">
        <f>SUM($AE188,$AF188:AK188)-SUM($CH188:CN188)</f>
        <v>-8268</v>
      </c>
      <c r="BN188" s="3">
        <f>SUM($AE188,$AF188:AL188)-SUM($CH188:CO188)</f>
        <v>-12188</v>
      </c>
      <c r="BO188" s="3">
        <f>SUM($AE188,$AF188:AM188)-SUM($CH188:CP188)</f>
        <v>-16328</v>
      </c>
      <c r="BP188" s="3">
        <f>SUM($AE188,$AF188:AN188)-SUM($CH188:CQ188)</f>
        <v>-20468</v>
      </c>
      <c r="BQ188" s="3">
        <f>SUM($AE188,$AF188:AO188)-SUM($CH188:CR188)</f>
        <v>-24288</v>
      </c>
      <c r="BR188" s="3">
        <f>SUM($AE188,$AF188:AP188)-SUM($CH188:CS188)</f>
        <v>-26518</v>
      </c>
      <c r="BS188" s="3">
        <f>SUM($AE188,$AF188:AQ188)-SUM($CH188:CT188)</f>
        <v>-26958</v>
      </c>
      <c r="BT188" s="3">
        <f>SUM($AE188,$AF188:AR188)-SUM($CH188:CU188)</f>
        <v>-26958</v>
      </c>
      <c r="BU188" s="3">
        <f>SUM($AE188,$AF188:AS188)-SUM($CH188:CV188)</f>
        <v>-26958</v>
      </c>
      <c r="BV188" s="3">
        <f>SUM($AE188,$AF188:AT188)-SUM($CH188:CW188)</f>
        <v>-26958</v>
      </c>
      <c r="BW188" s="3">
        <f>SUM($AE188,$AF188:AU188)-SUM($CH188:CX188)</f>
        <v>-26958</v>
      </c>
      <c r="BX188" s="3">
        <f>SUM($AE188,$AF188:AV188)-SUM($CH188:CY188)</f>
        <v>-26958</v>
      </c>
      <c r="BY188" s="3">
        <f>SUM($AE188,$AF188:AW188)-SUM($CH188:CZ188)</f>
        <v>-26958</v>
      </c>
      <c r="BZ188" s="3">
        <f>SUM($AE188,$AF188:AX188)-SUM($CH188:DA188)</f>
        <v>-26958</v>
      </c>
      <c r="CA188" s="3">
        <f>SUM($AE188,$AF188:AY188)-SUM($CH188:DB188)</f>
        <v>-26958</v>
      </c>
      <c r="CB188" s="3">
        <f>SUM($AE188,$AF188:AZ188)-SUM($CH188:DC188)</f>
        <v>-26958</v>
      </c>
      <c r="CC188" s="3">
        <f>SUM($AE188,$AF188:BA188)-SUM($CH188:DD188)</f>
        <v>-26958</v>
      </c>
      <c r="CI188" s="3">
        <f t="array" ref="CI188">SUMPRODUCT($J188:$U188,TRANSPOSE(CI$3:CI$14))</f>
        <v>0</v>
      </c>
      <c r="CJ188" s="3">
        <f t="array" ref="CJ188">SUMPRODUCT($J188:$U188,TRANSPOSE(CJ$3:CJ$14))</f>
        <v>0</v>
      </c>
      <c r="CK188" s="3">
        <f t="array" ref="CK188">SUMPRODUCT($J188:$U188,TRANSPOSE(CK$3:CK$14))</f>
        <v>320</v>
      </c>
      <c r="CL188" s="3">
        <f t="array" ref="CL188">SUMPRODUCT($J188:$U188,TRANSPOSE(CL$3:CL$14))</f>
        <v>1790</v>
      </c>
      <c r="CM188" s="3">
        <f t="array" ref="CM188">SUMPRODUCT($J188:$U188,TRANSPOSE(CM$3:CM$14))</f>
        <v>2885</v>
      </c>
      <c r="CN188" s="3">
        <f t="array" ref="CN188">SUMPRODUCT($J188:$U188,TRANSPOSE(CN$3:CN$14))</f>
        <v>3273</v>
      </c>
      <c r="CO188" s="3">
        <f t="array" ref="CO188">SUMPRODUCT($J188:$U188,TRANSPOSE(CO$3:CO$14))</f>
        <v>3920</v>
      </c>
      <c r="CP188" s="3">
        <f t="array" ref="CP188">SUMPRODUCT($J188:$U188,TRANSPOSE(CP$3:CP$14))</f>
        <v>4140</v>
      </c>
      <c r="CQ188" s="3">
        <f t="array" ref="CQ188">SUMPRODUCT($J188:$U188,TRANSPOSE(CQ$3:CQ$14))</f>
        <v>4140</v>
      </c>
      <c r="CR188" s="3">
        <f t="array" ref="CR188">SUMPRODUCT($J188:$U188,TRANSPOSE(CR$3:CR$14))</f>
        <v>3820</v>
      </c>
      <c r="CS188" s="3">
        <f t="array" ref="CS188">SUMPRODUCT($J188:$U188,TRANSPOSE(CS$3:CS$14))</f>
        <v>2230</v>
      </c>
      <c r="CT188" s="3">
        <f t="array" ref="CT188">SUMPRODUCT($J188:$U188,TRANSPOSE(CT$3:CT$14))</f>
        <v>440</v>
      </c>
      <c r="CU188" s="3">
        <f t="array" ref="CU188">SUMPRODUCT($J188:$U188,TRANSPOSE(CU$3:CU$14))</f>
        <v>0</v>
      </c>
      <c r="CV188" s="3">
        <f t="array" ref="CV188">SUMPRODUCT($J188:$U188,TRANSPOSE(CV$3:CV$14))</f>
        <v>0</v>
      </c>
      <c r="CW188" s="3">
        <f t="array" ref="CW188">SUMPRODUCT($J188:$U188,TRANSPOSE(CW$3:CW$14))</f>
        <v>0</v>
      </c>
      <c r="CX188" s="3">
        <f t="array" ref="CX188">SUMPRODUCT($J188:$U188,TRANSPOSE(CX$3:CX$14))</f>
        <v>0</v>
      </c>
      <c r="CY188" s="3">
        <f t="array" ref="CY188">SUMPRODUCT($J188:$U188,TRANSPOSE(CY$3:CY$14))</f>
        <v>0</v>
      </c>
      <c r="CZ188" s="3">
        <f t="array" ref="CZ188">SUMPRODUCT($J188:$U188,TRANSPOSE(CZ$3:CZ$14))</f>
        <v>0</v>
      </c>
      <c r="DA188" s="3">
        <f t="array" ref="DA188">SUMPRODUCT($J188:$U188,TRANSPOSE(DA$3:DA$14))</f>
        <v>0</v>
      </c>
      <c r="DB188" s="3">
        <f t="array" ref="DB188">SUMPRODUCT($J188:$U188,TRANSPOSE(DB$3:DB$14))</f>
        <v>0</v>
      </c>
      <c r="DC188" s="3">
        <f t="array" ref="DC188">SUMPRODUCT($J188:$U188,TRANSPOSE(DC$3:DC$14))</f>
        <v>0</v>
      </c>
      <c r="DD188" s="3">
        <f t="array" ref="DD188">SUMPRODUCT($J188:$U188,TRANSPOSE(DD$3:DD$14))</f>
        <v>0</v>
      </c>
      <c r="DE188" s="3">
        <f t="array" ref="DE188">SUMPRODUCT($J188:$U188,TRANSPOSE(DE$3:DE$14))</f>
        <v>0</v>
      </c>
    </row>
    <row r="189" spans="1:109" ht="13.5" thickBot="1" x14ac:dyDescent="0.25">
      <c r="A189" s="3">
        <v>718</v>
      </c>
      <c r="B189" s="9" t="s">
        <v>313</v>
      </c>
      <c r="C189" s="3" t="s">
        <v>16</v>
      </c>
      <c r="D189" s="3">
        <v>514200518</v>
      </c>
      <c r="F189" s="3" t="s">
        <v>314</v>
      </c>
      <c r="G189" s="3" t="s">
        <v>14</v>
      </c>
      <c r="H189" s="3">
        <v>2</v>
      </c>
      <c r="I189" s="3">
        <v>116</v>
      </c>
      <c r="J189" s="3">
        <v>7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f t="shared" si="45"/>
        <v>7</v>
      </c>
      <c r="W189" s="3">
        <f t="shared" si="44"/>
        <v>910</v>
      </c>
      <c r="X189" s="6" t="s">
        <v>280</v>
      </c>
      <c r="Y189" s="3">
        <v>1.7999999999999999E-2</v>
      </c>
      <c r="Z189" s="3" t="s">
        <v>594</v>
      </c>
      <c r="AA189" s="3" t="s">
        <v>128</v>
      </c>
      <c r="AB189" s="3" t="s">
        <v>129</v>
      </c>
      <c r="AC189" s="23" t="s">
        <v>130</v>
      </c>
      <c r="BJ189" s="3">
        <f>SUM($AE189,$AF189:AH189)-SUM($CH189:CK189)</f>
        <v>0</v>
      </c>
      <c r="BK189" s="3">
        <f>SUM($AE189,$AF189:AI189)-SUM($CH189:CL189)</f>
        <v>0</v>
      </c>
      <c r="BL189" s="3">
        <f>SUM($AE189,$AF189:AJ189)-SUM($CH189:CM189)</f>
        <v>-70</v>
      </c>
      <c r="BM189" s="3">
        <f>SUM($AE189,$AF189:AK189)-SUM($CH189:CN189)</f>
        <v>-175</v>
      </c>
      <c r="BN189" s="3">
        <f>SUM($AE189,$AF189:AL189)-SUM($CH189:CO189)</f>
        <v>-280</v>
      </c>
      <c r="BO189" s="3">
        <f>SUM($AE189,$AF189:AM189)-SUM($CH189:CP189)</f>
        <v>-420</v>
      </c>
      <c r="BP189" s="3">
        <f>SUM($AE189,$AF189:AN189)-SUM($CH189:CQ189)</f>
        <v>-560</v>
      </c>
      <c r="BQ189" s="3">
        <f>SUM($AE189,$AF189:AO189)-SUM($CH189:CR189)</f>
        <v>-700</v>
      </c>
      <c r="BR189" s="3">
        <f>SUM($AE189,$AF189:AP189)-SUM($CH189:CS189)</f>
        <v>-840</v>
      </c>
      <c r="BS189" s="3">
        <f>SUM($AE189,$AF189:AQ189)-SUM($CH189:CT189)</f>
        <v>-910</v>
      </c>
      <c r="BT189" s="3">
        <f>SUM($AE189,$AF189:AR189)-SUM($CH189:CU189)</f>
        <v>-910</v>
      </c>
      <c r="BU189" s="3">
        <f>SUM($AE189,$AF189:AS189)-SUM($CH189:CV189)</f>
        <v>-910</v>
      </c>
      <c r="BV189" s="3">
        <f>SUM($AE189,$AF189:AT189)-SUM($CH189:CW189)</f>
        <v>-910</v>
      </c>
      <c r="BW189" s="3">
        <f>SUM($AE189,$AF189:AU189)-SUM($CH189:CX189)</f>
        <v>-910</v>
      </c>
      <c r="BX189" s="3">
        <f>SUM($AE189,$AF189:AV189)-SUM($CH189:CY189)</f>
        <v>-910</v>
      </c>
      <c r="BY189" s="3">
        <f>SUM($AE189,$AF189:AW189)-SUM($CH189:CZ189)</f>
        <v>-910</v>
      </c>
      <c r="BZ189" s="3">
        <f>SUM($AE189,$AF189:AX189)-SUM($CH189:DA189)</f>
        <v>-910</v>
      </c>
      <c r="CA189" s="3">
        <f>SUM($AE189,$AF189:AY189)-SUM($CH189:DB189)</f>
        <v>-910</v>
      </c>
      <c r="CB189" s="3">
        <f>SUM($AE189,$AF189:AZ189)-SUM($CH189:DC189)</f>
        <v>-910</v>
      </c>
      <c r="CC189" s="3">
        <f>SUM($AE189,$AF189:BA189)-SUM($CH189:DD189)</f>
        <v>-910</v>
      </c>
      <c r="CI189" s="3">
        <f t="array" ref="CI189">SUMPRODUCT($J189:$U189,TRANSPOSE(CI$3:CI$14))</f>
        <v>0</v>
      </c>
      <c r="CJ189" s="3">
        <f t="array" ref="CJ189">SUMPRODUCT($J189:$U189,TRANSPOSE(CJ$3:CJ$14))</f>
        <v>0</v>
      </c>
      <c r="CK189" s="3">
        <f t="array" ref="CK189">SUMPRODUCT($J189:$U189,TRANSPOSE(CK$3:CK$14))</f>
        <v>0</v>
      </c>
      <c r="CL189" s="3">
        <f t="array" ref="CL189">SUMPRODUCT($J189:$U189,TRANSPOSE(CL$3:CL$14))</f>
        <v>0</v>
      </c>
      <c r="CM189" s="3">
        <f t="array" ref="CM189">SUMPRODUCT($J189:$U189,TRANSPOSE(CM$3:CM$14))</f>
        <v>70</v>
      </c>
      <c r="CN189" s="3">
        <f t="array" ref="CN189">SUMPRODUCT($J189:$U189,TRANSPOSE(CN$3:CN$14))</f>
        <v>105</v>
      </c>
      <c r="CO189" s="3">
        <f t="array" ref="CO189">SUMPRODUCT($J189:$U189,TRANSPOSE(CO$3:CO$14))</f>
        <v>105</v>
      </c>
      <c r="CP189" s="3">
        <f t="array" ref="CP189">SUMPRODUCT($J189:$U189,TRANSPOSE(CP$3:CP$14))</f>
        <v>140</v>
      </c>
      <c r="CQ189" s="3">
        <f t="array" ref="CQ189">SUMPRODUCT($J189:$U189,TRANSPOSE(CQ$3:CQ$14))</f>
        <v>140</v>
      </c>
      <c r="CR189" s="3">
        <f t="array" ref="CR189">SUMPRODUCT($J189:$U189,TRANSPOSE(CR$3:CR$14))</f>
        <v>140</v>
      </c>
      <c r="CS189" s="3">
        <f t="array" ref="CS189">SUMPRODUCT($J189:$U189,TRANSPOSE(CS$3:CS$14))</f>
        <v>140</v>
      </c>
      <c r="CT189" s="3">
        <f t="array" ref="CT189">SUMPRODUCT($J189:$U189,TRANSPOSE(CT$3:CT$14))</f>
        <v>70</v>
      </c>
      <c r="CU189" s="3">
        <f t="array" ref="CU189">SUMPRODUCT($J189:$U189,TRANSPOSE(CU$3:CU$14))</f>
        <v>0</v>
      </c>
      <c r="CV189" s="3">
        <f t="array" ref="CV189">SUMPRODUCT($J189:$U189,TRANSPOSE(CV$3:CV$14))</f>
        <v>0</v>
      </c>
      <c r="CW189" s="3">
        <f t="array" ref="CW189">SUMPRODUCT($J189:$U189,TRANSPOSE(CW$3:CW$14))</f>
        <v>0</v>
      </c>
      <c r="CX189" s="3">
        <f t="array" ref="CX189">SUMPRODUCT($J189:$U189,TRANSPOSE(CX$3:CX$14))</f>
        <v>0</v>
      </c>
      <c r="CY189" s="3">
        <f t="array" ref="CY189">SUMPRODUCT($J189:$U189,TRANSPOSE(CY$3:CY$14))</f>
        <v>0</v>
      </c>
      <c r="CZ189" s="3">
        <f t="array" ref="CZ189">SUMPRODUCT($J189:$U189,TRANSPOSE(CZ$3:CZ$14))</f>
        <v>0</v>
      </c>
      <c r="DA189" s="3">
        <f t="array" ref="DA189">SUMPRODUCT($J189:$U189,TRANSPOSE(DA$3:DA$14))</f>
        <v>0</v>
      </c>
      <c r="DB189" s="3">
        <f t="array" ref="DB189">SUMPRODUCT($J189:$U189,TRANSPOSE(DB$3:DB$14))</f>
        <v>0</v>
      </c>
      <c r="DC189" s="3">
        <f t="array" ref="DC189">SUMPRODUCT($J189:$U189,TRANSPOSE(DC$3:DC$14))</f>
        <v>0</v>
      </c>
      <c r="DD189" s="3">
        <f t="array" ref="DD189">SUMPRODUCT($J189:$U189,TRANSPOSE(DD$3:DD$14))</f>
        <v>0</v>
      </c>
      <c r="DE189" s="3">
        <f t="array" ref="DE189">SUMPRODUCT($J189:$U189,TRANSPOSE(DE$3:DE$14))</f>
        <v>0</v>
      </c>
    </row>
    <row r="190" spans="1:109" ht="13.5" thickBot="1" x14ac:dyDescent="0.25">
      <c r="A190" s="3">
        <v>719</v>
      </c>
      <c r="B190" s="9" t="s">
        <v>315</v>
      </c>
      <c r="C190" s="3" t="s">
        <v>16</v>
      </c>
      <c r="D190" s="3">
        <v>514201029</v>
      </c>
      <c r="F190" s="3" t="s">
        <v>316</v>
      </c>
      <c r="G190" s="3" t="s">
        <v>14</v>
      </c>
      <c r="H190" s="3">
        <v>2</v>
      </c>
      <c r="I190" s="3">
        <v>36</v>
      </c>
      <c r="J190" s="3">
        <v>16</v>
      </c>
      <c r="K190" s="3">
        <v>4</v>
      </c>
      <c r="L190" s="3">
        <v>0</v>
      </c>
      <c r="M190" s="3">
        <v>0</v>
      </c>
      <c r="N190" s="3">
        <v>5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f t="shared" si="45"/>
        <v>25</v>
      </c>
      <c r="W190" s="3">
        <f t="shared" si="44"/>
        <v>3250</v>
      </c>
      <c r="X190" s="6" t="s">
        <v>280</v>
      </c>
      <c r="Y190" s="3">
        <v>2.7E-2</v>
      </c>
      <c r="Z190" s="3" t="s">
        <v>594</v>
      </c>
      <c r="AA190" s="3" t="s">
        <v>128</v>
      </c>
      <c r="AB190" s="3" t="s">
        <v>129</v>
      </c>
      <c r="AC190" s="23" t="s">
        <v>130</v>
      </c>
      <c r="BJ190" s="3">
        <f>SUM($AE190,$AF190:AH190)-SUM($CH190:CK190)</f>
        <v>0</v>
      </c>
      <c r="BK190" s="3">
        <f>SUM($AE190,$AF190:AI190)-SUM($CH190:CL190)</f>
        <v>-90</v>
      </c>
      <c r="BL190" s="3">
        <f>SUM($AE190,$AF190:AJ190)-SUM($CH190:CM190)</f>
        <v>-385</v>
      </c>
      <c r="BM190" s="3">
        <f>SUM($AE190,$AF190:AK190)-SUM($CH190:CN190)</f>
        <v>-760</v>
      </c>
      <c r="BN190" s="3">
        <f>SUM($AE190,$AF190:AL190)-SUM($CH190:CO190)</f>
        <v>-1180</v>
      </c>
      <c r="BO190" s="3">
        <f>SUM($AE190,$AF190:AM190)-SUM($CH190:CP190)</f>
        <v>-1680</v>
      </c>
      <c r="BP190" s="3">
        <f>SUM($AE190,$AF190:AN190)-SUM($CH190:CQ190)</f>
        <v>-2180</v>
      </c>
      <c r="BQ190" s="3">
        <f>SUM($AE190,$AF190:AO190)-SUM($CH190:CR190)</f>
        <v>-2680</v>
      </c>
      <c r="BR190" s="3">
        <f>SUM($AE190,$AF190:AP190)-SUM($CH190:CS190)</f>
        <v>-3090</v>
      </c>
      <c r="BS190" s="3">
        <f>SUM($AE190,$AF190:AQ190)-SUM($CH190:CT190)</f>
        <v>-3250</v>
      </c>
      <c r="BT190" s="3">
        <f>SUM($AE190,$AF190:AR190)-SUM($CH190:CU190)</f>
        <v>-3250</v>
      </c>
      <c r="BU190" s="3">
        <f>SUM($AE190,$AF190:AS190)-SUM($CH190:CV190)</f>
        <v>-3250</v>
      </c>
      <c r="BV190" s="3">
        <f>SUM($AE190,$AF190:AT190)-SUM($CH190:CW190)</f>
        <v>-3250</v>
      </c>
      <c r="BW190" s="3">
        <f>SUM($AE190,$AF190:AU190)-SUM($CH190:CX190)</f>
        <v>-3250</v>
      </c>
      <c r="BX190" s="3">
        <f>SUM($AE190,$AF190:AV190)-SUM($CH190:CY190)</f>
        <v>-3250</v>
      </c>
      <c r="BY190" s="3">
        <f>SUM($AE190,$AF190:AW190)-SUM($CH190:CZ190)</f>
        <v>-3250</v>
      </c>
      <c r="BZ190" s="3">
        <f>SUM($AE190,$AF190:AX190)-SUM($CH190:DA190)</f>
        <v>-3250</v>
      </c>
      <c r="CA190" s="3">
        <f>SUM($AE190,$AF190:AY190)-SUM($CH190:DB190)</f>
        <v>-3250</v>
      </c>
      <c r="CB190" s="3">
        <f>SUM($AE190,$AF190:AZ190)-SUM($CH190:DC190)</f>
        <v>-3250</v>
      </c>
      <c r="CC190" s="3">
        <f>SUM($AE190,$AF190:BA190)-SUM($CH190:DD190)</f>
        <v>-3250</v>
      </c>
      <c r="CI190" s="3">
        <f t="array" ref="CI190">SUMPRODUCT($J190:$U190,TRANSPOSE(CI$3:CI$14))</f>
        <v>0</v>
      </c>
      <c r="CJ190" s="3">
        <f t="array" ref="CJ190">SUMPRODUCT($J190:$U190,TRANSPOSE(CJ$3:CJ$14))</f>
        <v>0</v>
      </c>
      <c r="CK190" s="3">
        <f t="array" ref="CK190">SUMPRODUCT($J190:$U190,TRANSPOSE(CK$3:CK$14))</f>
        <v>0</v>
      </c>
      <c r="CL190" s="3">
        <f t="array" ref="CL190">SUMPRODUCT($J190:$U190,TRANSPOSE(CL$3:CL$14))</f>
        <v>90</v>
      </c>
      <c r="CM190" s="3">
        <f t="array" ref="CM190">SUMPRODUCT($J190:$U190,TRANSPOSE(CM$3:CM$14))</f>
        <v>295</v>
      </c>
      <c r="CN190" s="3">
        <f t="array" ref="CN190">SUMPRODUCT($J190:$U190,TRANSPOSE(CN$3:CN$14))</f>
        <v>375</v>
      </c>
      <c r="CO190" s="3">
        <f t="array" ref="CO190">SUMPRODUCT($J190:$U190,TRANSPOSE(CO$3:CO$14))</f>
        <v>420</v>
      </c>
      <c r="CP190" s="3">
        <f t="array" ref="CP190">SUMPRODUCT($J190:$U190,TRANSPOSE(CP$3:CP$14))</f>
        <v>500</v>
      </c>
      <c r="CQ190" s="3">
        <f t="array" ref="CQ190">SUMPRODUCT($J190:$U190,TRANSPOSE(CQ$3:CQ$14))</f>
        <v>500</v>
      </c>
      <c r="CR190" s="3">
        <f t="array" ref="CR190">SUMPRODUCT($J190:$U190,TRANSPOSE(CR$3:CR$14))</f>
        <v>500</v>
      </c>
      <c r="CS190" s="3">
        <f t="array" ref="CS190">SUMPRODUCT($J190:$U190,TRANSPOSE(CS$3:CS$14))</f>
        <v>410</v>
      </c>
      <c r="CT190" s="3">
        <f t="array" ref="CT190">SUMPRODUCT($J190:$U190,TRANSPOSE(CT$3:CT$14))</f>
        <v>160</v>
      </c>
      <c r="CU190" s="3">
        <f t="array" ref="CU190">SUMPRODUCT($J190:$U190,TRANSPOSE(CU$3:CU$14))</f>
        <v>0</v>
      </c>
      <c r="CV190" s="3">
        <f t="array" ref="CV190">SUMPRODUCT($J190:$U190,TRANSPOSE(CV$3:CV$14))</f>
        <v>0</v>
      </c>
      <c r="CW190" s="3">
        <f t="array" ref="CW190">SUMPRODUCT($J190:$U190,TRANSPOSE(CW$3:CW$14))</f>
        <v>0</v>
      </c>
      <c r="CX190" s="3">
        <f t="array" ref="CX190">SUMPRODUCT($J190:$U190,TRANSPOSE(CX$3:CX$14))</f>
        <v>0</v>
      </c>
      <c r="CY190" s="3">
        <f t="array" ref="CY190">SUMPRODUCT($J190:$U190,TRANSPOSE(CY$3:CY$14))</f>
        <v>0</v>
      </c>
      <c r="CZ190" s="3">
        <f t="array" ref="CZ190">SUMPRODUCT($J190:$U190,TRANSPOSE(CZ$3:CZ$14))</f>
        <v>0</v>
      </c>
      <c r="DA190" s="3">
        <f t="array" ref="DA190">SUMPRODUCT($J190:$U190,TRANSPOSE(DA$3:DA$14))</f>
        <v>0</v>
      </c>
      <c r="DB190" s="3">
        <f t="array" ref="DB190">SUMPRODUCT($J190:$U190,TRANSPOSE(DB$3:DB$14))</f>
        <v>0</v>
      </c>
      <c r="DC190" s="3">
        <f t="array" ref="DC190">SUMPRODUCT($J190:$U190,TRANSPOSE(DC$3:DC$14))</f>
        <v>0</v>
      </c>
      <c r="DD190" s="3">
        <f t="array" ref="DD190">SUMPRODUCT($J190:$U190,TRANSPOSE(DD$3:DD$14))</f>
        <v>0</v>
      </c>
      <c r="DE190" s="3">
        <f t="array" ref="DE190">SUMPRODUCT($J190:$U190,TRANSPOSE(DE$3:DE$14))</f>
        <v>0</v>
      </c>
    </row>
    <row r="191" spans="1:109" ht="13.5" thickBot="1" x14ac:dyDescent="0.25">
      <c r="A191" s="3">
        <v>720</v>
      </c>
      <c r="B191" s="9" t="s">
        <v>687</v>
      </c>
      <c r="C191" s="3" t="s">
        <v>16</v>
      </c>
      <c r="D191" s="3">
        <v>512212440</v>
      </c>
      <c r="F191" s="3" t="s">
        <v>284</v>
      </c>
      <c r="G191" s="3" t="s">
        <v>14</v>
      </c>
      <c r="H191" s="3">
        <v>2</v>
      </c>
      <c r="I191" s="3">
        <v>154</v>
      </c>
      <c r="J191" s="3">
        <v>0</v>
      </c>
      <c r="K191" s="3">
        <v>2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f t="shared" si="45"/>
        <v>2</v>
      </c>
      <c r="W191" s="3">
        <f t="shared" si="44"/>
        <v>260</v>
      </c>
      <c r="X191" s="6" t="s">
        <v>280</v>
      </c>
      <c r="Y191" s="3">
        <v>5.5E-2</v>
      </c>
      <c r="Z191" s="3" t="s">
        <v>594</v>
      </c>
      <c r="AA191" s="3" t="s">
        <v>128</v>
      </c>
      <c r="AB191" s="3" t="s">
        <v>129</v>
      </c>
      <c r="AC191" s="23" t="s">
        <v>130</v>
      </c>
      <c r="BJ191" s="3">
        <f>SUM($AE191,$AF191:AH191)-SUM($CH191:CK191)</f>
        <v>0</v>
      </c>
      <c r="BK191" s="3">
        <f>SUM($AE191,$AF191:AI191)-SUM($CH191:CL191)</f>
        <v>-20</v>
      </c>
      <c r="BL191" s="3">
        <f>SUM($AE191,$AF191:AJ191)-SUM($CH191:CM191)</f>
        <v>-50</v>
      </c>
      <c r="BM191" s="3">
        <f>SUM($AE191,$AF191:AK191)-SUM($CH191:CN191)</f>
        <v>-80</v>
      </c>
      <c r="BN191" s="3">
        <f>SUM($AE191,$AF191:AL191)-SUM($CH191:CO191)</f>
        <v>-120</v>
      </c>
      <c r="BO191" s="3">
        <f>SUM($AE191,$AF191:AM191)-SUM($CH191:CP191)</f>
        <v>-160</v>
      </c>
      <c r="BP191" s="3">
        <f>SUM($AE191,$AF191:AN191)-SUM($CH191:CQ191)</f>
        <v>-200</v>
      </c>
      <c r="BQ191" s="3">
        <f>SUM($AE191,$AF191:AO191)-SUM($CH191:CR191)</f>
        <v>-240</v>
      </c>
      <c r="BR191" s="3">
        <f>SUM($AE191,$AF191:AP191)-SUM($CH191:CS191)</f>
        <v>-260</v>
      </c>
      <c r="BS191" s="3">
        <f>SUM($AE191,$AF191:AQ191)-SUM($CH191:CT191)</f>
        <v>-260</v>
      </c>
      <c r="BT191" s="3">
        <f>SUM($AE191,$AF191:AR191)-SUM($CH191:CU191)</f>
        <v>-260</v>
      </c>
      <c r="BU191" s="3">
        <f>SUM($AE191,$AF191:AS191)-SUM($CH191:CV191)</f>
        <v>-260</v>
      </c>
      <c r="BV191" s="3">
        <f>SUM($AE191,$AF191:AT191)-SUM($CH191:CW191)</f>
        <v>-260</v>
      </c>
      <c r="BW191" s="3">
        <f>SUM($AE191,$AF191:AU191)-SUM($CH191:CX191)</f>
        <v>-260</v>
      </c>
      <c r="BX191" s="3">
        <f>SUM($AE191,$AF191:AV191)-SUM($CH191:CY191)</f>
        <v>-260</v>
      </c>
      <c r="BY191" s="3">
        <f>SUM($AE191,$AF191:AW191)-SUM($CH191:CZ191)</f>
        <v>-260</v>
      </c>
      <c r="BZ191" s="3">
        <f>SUM($AE191,$AF191:AX191)-SUM($CH191:DA191)</f>
        <v>-260</v>
      </c>
      <c r="CA191" s="3">
        <f>SUM($AE191,$AF191:AY191)-SUM($CH191:DB191)</f>
        <v>-260</v>
      </c>
      <c r="CB191" s="3">
        <f>SUM($AE191,$AF191:AZ191)-SUM($CH191:DC191)</f>
        <v>-260</v>
      </c>
      <c r="CC191" s="3">
        <f>SUM($AE191,$AF191:BA191)-SUM($CH191:DD191)</f>
        <v>-260</v>
      </c>
      <c r="CI191" s="3">
        <f t="array" ref="CI191">SUMPRODUCT($J191:$U191,TRANSPOSE(CI$3:CI$14))</f>
        <v>0</v>
      </c>
      <c r="CJ191" s="3">
        <f t="array" ref="CJ191">SUMPRODUCT($J191:$U191,TRANSPOSE(CJ$3:CJ$14))</f>
        <v>0</v>
      </c>
      <c r="CK191" s="3">
        <f t="array" ref="CK191">SUMPRODUCT($J191:$U191,TRANSPOSE(CK$3:CK$14))</f>
        <v>0</v>
      </c>
      <c r="CL191" s="3">
        <f t="array" ref="CL191">SUMPRODUCT($J191:$U191,TRANSPOSE(CL$3:CL$14))</f>
        <v>20</v>
      </c>
      <c r="CM191" s="3">
        <f t="array" ref="CM191">SUMPRODUCT($J191:$U191,TRANSPOSE(CM$3:CM$14))</f>
        <v>30</v>
      </c>
      <c r="CN191" s="3">
        <f t="array" ref="CN191">SUMPRODUCT($J191:$U191,TRANSPOSE(CN$3:CN$14))</f>
        <v>30</v>
      </c>
      <c r="CO191" s="3">
        <f t="array" ref="CO191">SUMPRODUCT($J191:$U191,TRANSPOSE(CO$3:CO$14))</f>
        <v>40</v>
      </c>
      <c r="CP191" s="3">
        <f t="array" ref="CP191">SUMPRODUCT($J191:$U191,TRANSPOSE(CP$3:CP$14))</f>
        <v>40</v>
      </c>
      <c r="CQ191" s="3">
        <f t="array" ref="CQ191">SUMPRODUCT($J191:$U191,TRANSPOSE(CQ$3:CQ$14))</f>
        <v>40</v>
      </c>
      <c r="CR191" s="3">
        <f t="array" ref="CR191">SUMPRODUCT($J191:$U191,TRANSPOSE(CR$3:CR$14))</f>
        <v>40</v>
      </c>
      <c r="CS191" s="3">
        <f t="array" ref="CS191">SUMPRODUCT($J191:$U191,TRANSPOSE(CS$3:CS$14))</f>
        <v>20</v>
      </c>
      <c r="CT191" s="3">
        <f t="array" ref="CT191">SUMPRODUCT($J191:$U191,TRANSPOSE(CT$3:CT$14))</f>
        <v>0</v>
      </c>
      <c r="CU191" s="3">
        <f t="array" ref="CU191">SUMPRODUCT($J191:$U191,TRANSPOSE(CU$3:CU$14))</f>
        <v>0</v>
      </c>
      <c r="CV191" s="3">
        <f t="array" ref="CV191">SUMPRODUCT($J191:$U191,TRANSPOSE(CV$3:CV$14))</f>
        <v>0</v>
      </c>
      <c r="CW191" s="3">
        <f t="array" ref="CW191">SUMPRODUCT($J191:$U191,TRANSPOSE(CW$3:CW$14))</f>
        <v>0</v>
      </c>
      <c r="CX191" s="3">
        <f t="array" ref="CX191">SUMPRODUCT($J191:$U191,TRANSPOSE(CX$3:CX$14))</f>
        <v>0</v>
      </c>
      <c r="CY191" s="3">
        <f t="array" ref="CY191">SUMPRODUCT($J191:$U191,TRANSPOSE(CY$3:CY$14))</f>
        <v>0</v>
      </c>
      <c r="CZ191" s="3">
        <f t="array" ref="CZ191">SUMPRODUCT($J191:$U191,TRANSPOSE(CZ$3:CZ$14))</f>
        <v>0</v>
      </c>
      <c r="DA191" s="3">
        <f t="array" ref="DA191">SUMPRODUCT($J191:$U191,TRANSPOSE(DA$3:DA$14))</f>
        <v>0</v>
      </c>
      <c r="DB191" s="3">
        <f t="array" ref="DB191">SUMPRODUCT($J191:$U191,TRANSPOSE(DB$3:DB$14))</f>
        <v>0</v>
      </c>
      <c r="DC191" s="3">
        <f t="array" ref="DC191">SUMPRODUCT($J191:$U191,TRANSPOSE(DC$3:DC$14))</f>
        <v>0</v>
      </c>
      <c r="DD191" s="3">
        <f t="array" ref="DD191">SUMPRODUCT($J191:$U191,TRANSPOSE(DD$3:DD$14))</f>
        <v>0</v>
      </c>
      <c r="DE191" s="3">
        <f t="array" ref="DE191">SUMPRODUCT($J191:$U191,TRANSPOSE(DE$3:DE$14))</f>
        <v>0</v>
      </c>
    </row>
    <row r="192" spans="1:109" ht="13.5" thickBot="1" x14ac:dyDescent="0.25">
      <c r="A192" s="3">
        <v>761</v>
      </c>
      <c r="B192" s="9" t="s">
        <v>323</v>
      </c>
      <c r="C192" s="3" t="s">
        <v>16</v>
      </c>
      <c r="D192" s="3">
        <v>400057230</v>
      </c>
      <c r="E192" s="3" t="s">
        <v>324</v>
      </c>
      <c r="F192" s="3" t="s">
        <v>325</v>
      </c>
      <c r="G192" s="3" t="s">
        <v>14</v>
      </c>
      <c r="H192" s="3">
        <v>2</v>
      </c>
      <c r="I192" s="3">
        <v>40</v>
      </c>
      <c r="J192" s="3">
        <v>0</v>
      </c>
      <c r="K192" s="3">
        <v>20</v>
      </c>
      <c r="L192" s="3">
        <v>0</v>
      </c>
      <c r="M192" s="3">
        <v>0</v>
      </c>
      <c r="N192" s="3">
        <v>20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f t="shared" si="45"/>
        <v>40</v>
      </c>
      <c r="W192" s="3">
        <f t="shared" si="44"/>
        <v>5200</v>
      </c>
      <c r="X192" s="6" t="s">
        <v>638</v>
      </c>
      <c r="Y192" s="3">
        <v>1.7500000000000002E-2</v>
      </c>
      <c r="Z192" s="3" t="s">
        <v>594</v>
      </c>
      <c r="AA192" s="3" t="s">
        <v>128</v>
      </c>
      <c r="AB192" s="3" t="s">
        <v>129</v>
      </c>
      <c r="AC192" s="23" t="s">
        <v>130</v>
      </c>
      <c r="BJ192" s="3">
        <f>SUM($AE192,$AF192:AH192)-SUM($CH192:CK192)</f>
        <v>0</v>
      </c>
      <c r="BK192" s="3">
        <f>SUM($AE192,$AF192:AI192)-SUM($CH192:CL192)</f>
        <v>-400</v>
      </c>
      <c r="BL192" s="3">
        <f>SUM($AE192,$AF192:AJ192)-SUM($CH192:CM192)</f>
        <v>-1000</v>
      </c>
      <c r="BM192" s="3">
        <f>SUM($AE192,$AF192:AK192)-SUM($CH192:CN192)</f>
        <v>-1600</v>
      </c>
      <c r="BN192" s="3">
        <f>SUM($AE192,$AF192:AL192)-SUM($CH192:CO192)</f>
        <v>-2400</v>
      </c>
      <c r="BO192" s="3">
        <f>SUM($AE192,$AF192:AM192)-SUM($CH192:CP192)</f>
        <v>-3200</v>
      </c>
      <c r="BP192" s="3">
        <f>SUM($AE192,$AF192:AN192)-SUM($CH192:CQ192)</f>
        <v>-4000</v>
      </c>
      <c r="BQ192" s="3">
        <f>SUM($AE192,$AF192:AO192)-SUM($CH192:CR192)</f>
        <v>-4800</v>
      </c>
      <c r="BR192" s="3">
        <f>SUM($AE192,$AF192:AP192)-SUM($CH192:CS192)</f>
        <v>-5200</v>
      </c>
      <c r="BS192" s="3">
        <f>SUM($AE192,$AF192:AQ192)-SUM($CH192:CT192)</f>
        <v>-5200</v>
      </c>
      <c r="BT192" s="3">
        <f>SUM($AE192,$AF192:AR192)-SUM($CH192:CU192)</f>
        <v>-5200</v>
      </c>
      <c r="BU192" s="3">
        <f>SUM($AE192,$AF192:AS192)-SUM($CH192:CV192)</f>
        <v>-5200</v>
      </c>
      <c r="BV192" s="3">
        <f>SUM($AE192,$AF192:AT192)-SUM($CH192:CW192)</f>
        <v>-5200</v>
      </c>
      <c r="BW192" s="3">
        <f>SUM($AE192,$AF192:AU192)-SUM($CH192:CX192)</f>
        <v>-5200</v>
      </c>
      <c r="BX192" s="3">
        <f>SUM($AE192,$AF192:AV192)-SUM($CH192:CY192)</f>
        <v>-5200</v>
      </c>
      <c r="BY192" s="3">
        <f>SUM($AE192,$AF192:AW192)-SUM($CH192:CZ192)</f>
        <v>-5200</v>
      </c>
      <c r="BZ192" s="3">
        <f>SUM($AE192,$AF192:AX192)-SUM($CH192:DA192)</f>
        <v>-5200</v>
      </c>
      <c r="CA192" s="3">
        <f>SUM($AE192,$AF192:AY192)-SUM($CH192:DB192)</f>
        <v>-5200</v>
      </c>
      <c r="CB192" s="3">
        <f>SUM($AE192,$AF192:AZ192)-SUM($CH192:DC192)</f>
        <v>-5200</v>
      </c>
      <c r="CC192" s="3">
        <f>SUM($AE192,$AF192:BA192)-SUM($CH192:DD192)</f>
        <v>-5200</v>
      </c>
      <c r="CI192" s="3">
        <f t="array" ref="CI192">SUMPRODUCT($J192:$U192,TRANSPOSE(CI$3:CI$14))</f>
        <v>0</v>
      </c>
      <c r="CJ192" s="3">
        <f t="array" ref="CJ192">SUMPRODUCT($J192:$U192,TRANSPOSE(CJ$3:CJ$14))</f>
        <v>0</v>
      </c>
      <c r="CK192" s="3">
        <f t="array" ref="CK192">SUMPRODUCT($J192:$U192,TRANSPOSE(CK$3:CK$14))</f>
        <v>0</v>
      </c>
      <c r="CL192" s="3">
        <f t="array" ref="CL192">SUMPRODUCT($J192:$U192,TRANSPOSE(CL$3:CL$14))</f>
        <v>400</v>
      </c>
      <c r="CM192" s="3">
        <f t="array" ref="CM192">SUMPRODUCT($J192:$U192,TRANSPOSE(CM$3:CM$14))</f>
        <v>600</v>
      </c>
      <c r="CN192" s="3">
        <f t="array" ref="CN192">SUMPRODUCT($J192:$U192,TRANSPOSE(CN$3:CN$14))</f>
        <v>600</v>
      </c>
      <c r="CO192" s="3">
        <f t="array" ref="CO192">SUMPRODUCT($J192:$U192,TRANSPOSE(CO$3:CO$14))</f>
        <v>800</v>
      </c>
      <c r="CP192" s="3">
        <f t="array" ref="CP192">SUMPRODUCT($J192:$U192,TRANSPOSE(CP$3:CP$14))</f>
        <v>800</v>
      </c>
      <c r="CQ192" s="3">
        <f t="array" ref="CQ192">SUMPRODUCT($J192:$U192,TRANSPOSE(CQ$3:CQ$14))</f>
        <v>800</v>
      </c>
      <c r="CR192" s="3">
        <f t="array" ref="CR192">SUMPRODUCT($J192:$U192,TRANSPOSE(CR$3:CR$14))</f>
        <v>800</v>
      </c>
      <c r="CS192" s="3">
        <f t="array" ref="CS192">SUMPRODUCT($J192:$U192,TRANSPOSE(CS$3:CS$14))</f>
        <v>400</v>
      </c>
      <c r="CT192" s="3">
        <f t="array" ref="CT192">SUMPRODUCT($J192:$U192,TRANSPOSE(CT$3:CT$14))</f>
        <v>0</v>
      </c>
      <c r="CU192" s="3">
        <f t="array" ref="CU192">SUMPRODUCT($J192:$U192,TRANSPOSE(CU$3:CU$14))</f>
        <v>0</v>
      </c>
      <c r="CV192" s="3">
        <f t="array" ref="CV192">SUMPRODUCT($J192:$U192,TRANSPOSE(CV$3:CV$14))</f>
        <v>0</v>
      </c>
      <c r="CW192" s="3">
        <f t="array" ref="CW192">SUMPRODUCT($J192:$U192,TRANSPOSE(CW$3:CW$14))</f>
        <v>0</v>
      </c>
      <c r="CX192" s="3">
        <f t="array" ref="CX192">SUMPRODUCT($J192:$U192,TRANSPOSE(CX$3:CX$14))</f>
        <v>0</v>
      </c>
      <c r="CY192" s="3">
        <f t="array" ref="CY192">SUMPRODUCT($J192:$U192,TRANSPOSE(CY$3:CY$14))</f>
        <v>0</v>
      </c>
      <c r="CZ192" s="3">
        <f t="array" ref="CZ192">SUMPRODUCT($J192:$U192,TRANSPOSE(CZ$3:CZ$14))</f>
        <v>0</v>
      </c>
      <c r="DA192" s="3">
        <f t="array" ref="DA192">SUMPRODUCT($J192:$U192,TRANSPOSE(DA$3:DA$14))</f>
        <v>0</v>
      </c>
      <c r="DB192" s="3">
        <f t="array" ref="DB192">SUMPRODUCT($J192:$U192,TRANSPOSE(DB$3:DB$14))</f>
        <v>0</v>
      </c>
      <c r="DC192" s="3">
        <f t="array" ref="DC192">SUMPRODUCT($J192:$U192,TRANSPOSE(DC$3:DC$14))</f>
        <v>0</v>
      </c>
      <c r="DD192" s="3">
        <f t="array" ref="DD192">SUMPRODUCT($J192:$U192,TRANSPOSE(DD$3:DD$14))</f>
        <v>0</v>
      </c>
      <c r="DE192" s="3">
        <f t="array" ref="DE192">SUMPRODUCT($J192:$U192,TRANSPOSE(DE$3:DE$14))</f>
        <v>0</v>
      </c>
    </row>
    <row r="193" spans="1:109" ht="13.5" thickBot="1" x14ac:dyDescent="0.25">
      <c r="A193" s="3">
        <v>764</v>
      </c>
      <c r="B193" s="9" t="s">
        <v>688</v>
      </c>
      <c r="C193" s="3" t="s">
        <v>16</v>
      </c>
      <c r="D193" s="3">
        <v>400828408</v>
      </c>
      <c r="E193" s="3">
        <v>400525698</v>
      </c>
      <c r="F193" s="3" t="s">
        <v>689</v>
      </c>
      <c r="G193" s="3" t="s">
        <v>14</v>
      </c>
      <c r="H193" s="3">
        <v>2</v>
      </c>
      <c r="I193" s="3">
        <v>42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6</v>
      </c>
      <c r="R193" s="3">
        <v>0</v>
      </c>
      <c r="S193" s="3">
        <v>0</v>
      </c>
      <c r="T193" s="3">
        <v>0</v>
      </c>
      <c r="U193" s="3">
        <v>0</v>
      </c>
      <c r="V193" s="3">
        <f t="shared" si="45"/>
        <v>6</v>
      </c>
      <c r="W193" s="3">
        <f t="shared" si="44"/>
        <v>852</v>
      </c>
      <c r="X193" s="6" t="s">
        <v>326</v>
      </c>
      <c r="Y193" s="3">
        <v>7.5999999999999998E-2</v>
      </c>
      <c r="Z193" s="3" t="s">
        <v>690</v>
      </c>
      <c r="BJ193" s="3">
        <f>SUM($AE193,$AF193:AH193)-SUM($CH193:CK193)</f>
        <v>-60</v>
      </c>
      <c r="BK193" s="3">
        <f>SUM($AE193,$AF193:AI193)-SUM($CH193:CL193)</f>
        <v>-150</v>
      </c>
      <c r="BL193" s="3">
        <f>SUM($AE193,$AF193:AJ193)-SUM($CH193:CM193)</f>
        <v>-252</v>
      </c>
      <c r="BM193" s="3">
        <f>SUM($AE193,$AF193:AK193)-SUM($CH193:CN193)</f>
        <v>-372</v>
      </c>
      <c r="BN193" s="3">
        <f>SUM($AE193,$AF193:AL193)-SUM($CH193:CO193)</f>
        <v>-492</v>
      </c>
      <c r="BO193" s="3">
        <f>SUM($AE193,$AF193:AM193)-SUM($CH193:CP193)</f>
        <v>-612</v>
      </c>
      <c r="BP193" s="3">
        <f>SUM($AE193,$AF193:AN193)-SUM($CH193:CQ193)</f>
        <v>-732</v>
      </c>
      <c r="BQ193" s="3">
        <f>SUM($AE193,$AF193:AO193)-SUM($CH193:CR193)</f>
        <v>-852</v>
      </c>
      <c r="BR193" s="3">
        <f>SUM($AE193,$AF193:AP193)-SUM($CH193:CS193)</f>
        <v>-852</v>
      </c>
      <c r="BS193" s="3">
        <f>SUM($AE193,$AF193:AQ193)-SUM($CH193:CT193)</f>
        <v>-852</v>
      </c>
      <c r="BT193" s="3">
        <f>SUM($AE193,$AF193:AR193)-SUM($CH193:CU193)</f>
        <v>-852</v>
      </c>
      <c r="BU193" s="3">
        <f>SUM($AE193,$AF193:AS193)-SUM($CH193:CV193)</f>
        <v>-852</v>
      </c>
      <c r="BV193" s="3">
        <f>SUM($AE193,$AF193:AT193)-SUM($CH193:CW193)</f>
        <v>-852</v>
      </c>
      <c r="BW193" s="3">
        <f>SUM($AE193,$AF193:AU193)-SUM($CH193:CX193)</f>
        <v>-852</v>
      </c>
      <c r="BX193" s="3">
        <f>SUM($AE193,$AF193:AV193)-SUM($CH193:CY193)</f>
        <v>-852</v>
      </c>
      <c r="BY193" s="3">
        <f>SUM($AE193,$AF193:AW193)-SUM($CH193:CZ193)</f>
        <v>-852</v>
      </c>
      <c r="BZ193" s="3">
        <f>SUM($AE193,$AF193:AX193)-SUM($CH193:DA193)</f>
        <v>-852</v>
      </c>
      <c r="CA193" s="3">
        <f>SUM($AE193,$AF193:AY193)-SUM($CH193:DB193)</f>
        <v>-852</v>
      </c>
      <c r="CB193" s="3">
        <f>SUM($AE193,$AF193:AZ193)-SUM($CH193:DC193)</f>
        <v>-852</v>
      </c>
      <c r="CC193" s="3">
        <f>SUM($AE193,$AF193:BA193)-SUM($CH193:DD193)</f>
        <v>-852</v>
      </c>
      <c r="CI193" s="3">
        <f t="array" ref="CI193">SUMPRODUCT($J193:$U193,TRANSPOSE(CI$3:CI$14))</f>
        <v>0</v>
      </c>
      <c r="CJ193" s="3">
        <f t="array" ref="CJ193">SUMPRODUCT($J193:$U193,TRANSPOSE(CJ$3:CJ$14))</f>
        <v>0</v>
      </c>
      <c r="CK193" s="3">
        <f t="array" ref="CK193">SUMPRODUCT($J193:$U193,TRANSPOSE(CK$3:CK$14))</f>
        <v>60</v>
      </c>
      <c r="CL193" s="3">
        <f t="array" ref="CL193">SUMPRODUCT($J193:$U193,TRANSPOSE(CL$3:CL$14))</f>
        <v>90</v>
      </c>
      <c r="CM193" s="3">
        <f t="array" ref="CM193">SUMPRODUCT($J193:$U193,TRANSPOSE(CM$3:CM$14))</f>
        <v>102</v>
      </c>
      <c r="CN193" s="3">
        <f t="array" ref="CN193">SUMPRODUCT($J193:$U193,TRANSPOSE(CN$3:CN$14))</f>
        <v>120</v>
      </c>
      <c r="CO193" s="3">
        <f t="array" ref="CO193">SUMPRODUCT($J193:$U193,TRANSPOSE(CO$3:CO$14))</f>
        <v>120</v>
      </c>
      <c r="CP193" s="3">
        <f t="array" ref="CP193">SUMPRODUCT($J193:$U193,TRANSPOSE(CP$3:CP$14))</f>
        <v>120</v>
      </c>
      <c r="CQ193" s="3">
        <f t="array" ref="CQ193">SUMPRODUCT($J193:$U193,TRANSPOSE(CQ$3:CQ$14))</f>
        <v>120</v>
      </c>
      <c r="CR193" s="3">
        <f t="array" ref="CR193">SUMPRODUCT($J193:$U193,TRANSPOSE(CR$3:CR$14))</f>
        <v>120</v>
      </c>
      <c r="CS193" s="3">
        <f t="array" ref="CS193">SUMPRODUCT($J193:$U193,TRANSPOSE(CS$3:CS$14))</f>
        <v>0</v>
      </c>
      <c r="CT193" s="3">
        <f t="array" ref="CT193">SUMPRODUCT($J193:$U193,TRANSPOSE(CT$3:CT$14))</f>
        <v>0</v>
      </c>
      <c r="CU193" s="3">
        <f t="array" ref="CU193">SUMPRODUCT($J193:$U193,TRANSPOSE(CU$3:CU$14))</f>
        <v>0</v>
      </c>
      <c r="CV193" s="3">
        <f t="array" ref="CV193">SUMPRODUCT($J193:$U193,TRANSPOSE(CV$3:CV$14))</f>
        <v>0</v>
      </c>
      <c r="CW193" s="3">
        <f t="array" ref="CW193">SUMPRODUCT($J193:$U193,TRANSPOSE(CW$3:CW$14))</f>
        <v>0</v>
      </c>
      <c r="CX193" s="3">
        <f t="array" ref="CX193">SUMPRODUCT($J193:$U193,TRANSPOSE(CX$3:CX$14))</f>
        <v>0</v>
      </c>
      <c r="CY193" s="3">
        <f t="array" ref="CY193">SUMPRODUCT($J193:$U193,TRANSPOSE(CY$3:CY$14))</f>
        <v>0</v>
      </c>
      <c r="CZ193" s="3">
        <f t="array" ref="CZ193">SUMPRODUCT($J193:$U193,TRANSPOSE(CZ$3:CZ$14))</f>
        <v>0</v>
      </c>
      <c r="DA193" s="3">
        <f t="array" ref="DA193">SUMPRODUCT($J193:$U193,TRANSPOSE(DA$3:DA$14))</f>
        <v>0</v>
      </c>
      <c r="DB193" s="3">
        <f t="array" ref="DB193">SUMPRODUCT($J193:$U193,TRANSPOSE(DB$3:DB$14))</f>
        <v>0</v>
      </c>
      <c r="DC193" s="3">
        <f t="array" ref="DC193">SUMPRODUCT($J193:$U193,TRANSPOSE(DC$3:DC$14))</f>
        <v>0</v>
      </c>
      <c r="DD193" s="3">
        <f t="array" ref="DD193">SUMPRODUCT($J193:$U193,TRANSPOSE(DD$3:DD$14))</f>
        <v>0</v>
      </c>
      <c r="DE193" s="3">
        <f t="array" ref="DE193">SUMPRODUCT($J193:$U193,TRANSPOSE(DE$3:DE$14))</f>
        <v>0</v>
      </c>
    </row>
    <row r="194" spans="1:109" ht="15" thickBot="1" x14ac:dyDescent="0.25">
      <c r="A194" s="3">
        <v>766</v>
      </c>
      <c r="B194" s="9" t="s">
        <v>691</v>
      </c>
      <c r="C194" s="3" t="s">
        <v>16</v>
      </c>
      <c r="D194" s="3">
        <v>400019832</v>
      </c>
      <c r="E194" s="3">
        <v>401026794</v>
      </c>
      <c r="F194" s="3" t="s">
        <v>692</v>
      </c>
      <c r="G194" s="3" t="s">
        <v>14</v>
      </c>
      <c r="H194" s="3">
        <v>2</v>
      </c>
      <c r="I194" s="3">
        <v>10</v>
      </c>
      <c r="J194" s="3">
        <v>0</v>
      </c>
      <c r="K194" s="3">
        <v>0</v>
      </c>
      <c r="L194" s="3">
        <v>0</v>
      </c>
      <c r="M194" s="3">
        <v>1</v>
      </c>
      <c r="N194" s="3">
        <v>0</v>
      </c>
      <c r="O194" s="3">
        <v>0</v>
      </c>
      <c r="P194" s="3">
        <v>0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V194" s="3">
        <f t="shared" si="45"/>
        <v>2</v>
      </c>
      <c r="W194" s="3">
        <f t="shared" si="44"/>
        <v>272</v>
      </c>
      <c r="X194" s="6" t="s">
        <v>331</v>
      </c>
      <c r="Y194" s="3">
        <v>11</v>
      </c>
      <c r="Z194" s="3" t="s">
        <v>693</v>
      </c>
      <c r="AA194" s="2"/>
      <c r="AB194" s="2"/>
      <c r="AC194" s="25"/>
      <c r="AD194" s="26" t="s">
        <v>694</v>
      </c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J194" s="3">
        <f>SUM($AE194,$AF194:AH194)-SUM($CH194:CK194)</f>
        <v>-20</v>
      </c>
      <c r="BK194" s="3">
        <f>SUM($AE194,$AF194:AI194)-SUM($CH194:CL194)</f>
        <v>-50</v>
      </c>
      <c r="BL194" s="3">
        <f>SUM($AE194,$AF194:AJ194)-SUM($CH194:CM194)</f>
        <v>-82</v>
      </c>
      <c r="BM194" s="3">
        <f>SUM($AE194,$AF194:AK194)-SUM($CH194:CN194)</f>
        <v>-122</v>
      </c>
      <c r="BN194" s="3">
        <f>SUM($AE194,$AF194:AL194)-SUM($CH194:CO194)</f>
        <v>-162</v>
      </c>
      <c r="BO194" s="3">
        <f>SUM($AE194,$AF194:AM194)-SUM($CH194:CP194)</f>
        <v>-202</v>
      </c>
      <c r="BP194" s="3">
        <f>SUM($AE194,$AF194:AN194)-SUM($CH194:CQ194)</f>
        <v>-242</v>
      </c>
      <c r="BQ194" s="3">
        <f>SUM($AE194,$AF194:AO194)-SUM($CH194:CR194)</f>
        <v>-272</v>
      </c>
      <c r="BR194" s="3">
        <f>SUM($AE194,$AF194:AP194)-SUM($CH194:CS194)</f>
        <v>-272</v>
      </c>
      <c r="BS194" s="3">
        <f>SUM($AE194,$AF194:AQ194)-SUM($CH194:CT194)</f>
        <v>-272</v>
      </c>
      <c r="BT194" s="3">
        <f>SUM($AE194,$AF194:AR194)-SUM($CH194:CU194)</f>
        <v>-272</v>
      </c>
      <c r="BU194" s="3">
        <f>SUM($AE194,$AF194:AS194)-SUM($CH194:CV194)</f>
        <v>-272</v>
      </c>
      <c r="BV194" s="3">
        <f>SUM($AE194,$AF194:AT194)-SUM($CH194:CW194)</f>
        <v>-272</v>
      </c>
      <c r="BW194" s="3">
        <f>SUM($AE194,$AF194:AU194)-SUM($CH194:CX194)</f>
        <v>-272</v>
      </c>
      <c r="BX194" s="3">
        <f>SUM($AE194,$AF194:AV194)-SUM($CH194:CY194)</f>
        <v>-272</v>
      </c>
      <c r="BY194" s="3">
        <f>SUM($AE194,$AF194:AW194)-SUM($CH194:CZ194)</f>
        <v>-272</v>
      </c>
      <c r="BZ194" s="3">
        <f>SUM($AE194,$AF194:AX194)-SUM($CH194:DA194)</f>
        <v>-272</v>
      </c>
      <c r="CA194" s="3">
        <f>SUM($AE194,$AF194:AY194)-SUM($CH194:DB194)</f>
        <v>-272</v>
      </c>
      <c r="CB194" s="3">
        <f>SUM($AE194,$AF194:AZ194)-SUM($CH194:DC194)</f>
        <v>-272</v>
      </c>
      <c r="CC194" s="3">
        <f>SUM($AE194,$AF194:BA194)-SUM($CH194:DD194)</f>
        <v>-272</v>
      </c>
      <c r="CI194" s="3">
        <f t="array" ref="CI194">SUMPRODUCT($J194:$U194,TRANSPOSE(CI$3:CI$14))</f>
        <v>0</v>
      </c>
      <c r="CJ194" s="3">
        <f t="array" ref="CJ194">SUMPRODUCT($J194:$U194,TRANSPOSE(CJ$3:CJ$14))</f>
        <v>0</v>
      </c>
      <c r="CK194" s="3">
        <f t="array" ref="CK194">SUMPRODUCT($J194:$U194,TRANSPOSE(CK$3:CK$14))</f>
        <v>20</v>
      </c>
      <c r="CL194" s="3">
        <f t="array" ref="CL194">SUMPRODUCT($J194:$U194,TRANSPOSE(CL$3:CL$14))</f>
        <v>30</v>
      </c>
      <c r="CM194" s="3">
        <f t="array" ref="CM194">SUMPRODUCT($J194:$U194,TRANSPOSE(CM$3:CM$14))</f>
        <v>32</v>
      </c>
      <c r="CN194" s="3">
        <f t="array" ref="CN194">SUMPRODUCT($J194:$U194,TRANSPOSE(CN$3:CN$14))</f>
        <v>40</v>
      </c>
      <c r="CO194" s="3">
        <f t="array" ref="CO194">SUMPRODUCT($J194:$U194,TRANSPOSE(CO$3:CO$14))</f>
        <v>40</v>
      </c>
      <c r="CP194" s="3">
        <f t="array" ref="CP194">SUMPRODUCT($J194:$U194,TRANSPOSE(CP$3:CP$14))</f>
        <v>40</v>
      </c>
      <c r="CQ194" s="3">
        <f t="array" ref="CQ194">SUMPRODUCT($J194:$U194,TRANSPOSE(CQ$3:CQ$14))</f>
        <v>40</v>
      </c>
      <c r="CR194" s="3">
        <f t="array" ref="CR194">SUMPRODUCT($J194:$U194,TRANSPOSE(CR$3:CR$14))</f>
        <v>30</v>
      </c>
      <c r="CS194" s="3">
        <f t="array" ref="CS194">SUMPRODUCT($J194:$U194,TRANSPOSE(CS$3:CS$14))</f>
        <v>0</v>
      </c>
      <c r="CT194" s="3">
        <f t="array" ref="CT194">SUMPRODUCT($J194:$U194,TRANSPOSE(CT$3:CT$14))</f>
        <v>0</v>
      </c>
      <c r="CU194" s="3">
        <f t="array" ref="CU194">SUMPRODUCT($J194:$U194,TRANSPOSE(CU$3:CU$14))</f>
        <v>0</v>
      </c>
      <c r="CV194" s="3">
        <f t="array" ref="CV194">SUMPRODUCT($J194:$U194,TRANSPOSE(CV$3:CV$14))</f>
        <v>0</v>
      </c>
      <c r="CW194" s="3">
        <f t="array" ref="CW194">SUMPRODUCT($J194:$U194,TRANSPOSE(CW$3:CW$14))</f>
        <v>0</v>
      </c>
      <c r="CX194" s="3">
        <f t="array" ref="CX194">SUMPRODUCT($J194:$U194,TRANSPOSE(CX$3:CX$14))</f>
        <v>0</v>
      </c>
      <c r="CY194" s="3">
        <f t="array" ref="CY194">SUMPRODUCT($J194:$U194,TRANSPOSE(CY$3:CY$14))</f>
        <v>0</v>
      </c>
      <c r="CZ194" s="3">
        <f t="array" ref="CZ194">SUMPRODUCT($J194:$U194,TRANSPOSE(CZ$3:CZ$14))</f>
        <v>0</v>
      </c>
      <c r="DA194" s="3">
        <f t="array" ref="DA194">SUMPRODUCT($J194:$U194,TRANSPOSE(DA$3:DA$14))</f>
        <v>0</v>
      </c>
      <c r="DB194" s="3">
        <f t="array" ref="DB194">SUMPRODUCT($J194:$U194,TRANSPOSE(DB$3:DB$14))</f>
        <v>0</v>
      </c>
      <c r="DC194" s="3">
        <f t="array" ref="DC194">SUMPRODUCT($J194:$U194,TRANSPOSE(DC$3:DC$14))</f>
        <v>0</v>
      </c>
      <c r="DD194" s="3">
        <f t="array" ref="DD194">SUMPRODUCT($J194:$U194,TRANSPOSE(DD$3:DD$14))</f>
        <v>0</v>
      </c>
      <c r="DE194" s="3">
        <f t="array" ref="DE194">SUMPRODUCT($J194:$U194,TRANSPOSE(DE$3:DE$14))</f>
        <v>0</v>
      </c>
    </row>
    <row r="195" spans="1:109" ht="13.5" thickBot="1" x14ac:dyDescent="0.25">
      <c r="A195" s="3">
        <v>771</v>
      </c>
      <c r="B195" s="9" t="s">
        <v>695</v>
      </c>
      <c r="C195" s="3" t="s">
        <v>16</v>
      </c>
      <c r="D195" s="3">
        <v>400342442</v>
      </c>
      <c r="E195" s="3">
        <v>410710871</v>
      </c>
      <c r="F195" s="3" t="s">
        <v>696</v>
      </c>
      <c r="G195" s="3" t="s">
        <v>14</v>
      </c>
      <c r="H195" s="3">
        <v>2</v>
      </c>
      <c r="I195" s="3">
        <v>2</v>
      </c>
      <c r="J195" s="3">
        <v>0</v>
      </c>
      <c r="K195" s="3">
        <v>0</v>
      </c>
      <c r="L195" s="3">
        <v>0</v>
      </c>
      <c r="M195" s="3">
        <v>0</v>
      </c>
      <c r="N195" s="3">
        <v>2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f t="shared" si="45"/>
        <v>2</v>
      </c>
      <c r="W195" s="3">
        <f t="shared" si="44"/>
        <v>260</v>
      </c>
      <c r="X195" s="6" t="s">
        <v>697</v>
      </c>
      <c r="Y195" s="3">
        <v>9.1300000000000008</v>
      </c>
      <c r="Z195" s="3" t="s">
        <v>68</v>
      </c>
      <c r="AA195" s="3" t="s">
        <v>69</v>
      </c>
      <c r="AB195" s="3" t="s">
        <v>70</v>
      </c>
      <c r="AC195" s="3" t="s">
        <v>71</v>
      </c>
      <c r="BJ195" s="3">
        <f>SUM($AE195,$AF195:AH195)-SUM($CH195:CK195)</f>
        <v>0</v>
      </c>
      <c r="BK195" s="3">
        <f>SUM($AE195,$AF195:AI195)-SUM($CH195:CL195)</f>
        <v>-20</v>
      </c>
      <c r="BL195" s="3">
        <f>SUM($AE195,$AF195:AJ195)-SUM($CH195:CM195)</f>
        <v>-50</v>
      </c>
      <c r="BM195" s="3">
        <f>SUM($AE195,$AF195:AK195)-SUM($CH195:CN195)</f>
        <v>-80</v>
      </c>
      <c r="BN195" s="3">
        <f>SUM($AE195,$AF195:AL195)-SUM($CH195:CO195)</f>
        <v>-120</v>
      </c>
      <c r="BO195" s="3">
        <f>SUM($AE195,$AF195:AM195)-SUM($CH195:CP195)</f>
        <v>-160</v>
      </c>
      <c r="BP195" s="3">
        <f>SUM($AE195,$AF195:AN195)-SUM($CH195:CQ195)</f>
        <v>-200</v>
      </c>
      <c r="BQ195" s="3">
        <f>SUM($AE195,$AF195:AO195)-SUM($CH195:CR195)</f>
        <v>-240</v>
      </c>
      <c r="BR195" s="3">
        <f>SUM($AE195,$AF195:AP195)-SUM($CH195:CS195)</f>
        <v>-260</v>
      </c>
      <c r="BS195" s="3">
        <f>SUM($AE195,$AF195:AQ195)-SUM($CH195:CT195)</f>
        <v>-260</v>
      </c>
      <c r="BT195" s="3">
        <f>SUM($AE195,$AF195:AR195)-SUM($CH195:CU195)</f>
        <v>-260</v>
      </c>
      <c r="BU195" s="3">
        <f>SUM($AE195,$AF195:AS195)-SUM($CH195:CV195)</f>
        <v>-260</v>
      </c>
      <c r="BV195" s="3">
        <f>SUM($AE195,$AF195:AT195)-SUM($CH195:CW195)</f>
        <v>-260</v>
      </c>
      <c r="BW195" s="3">
        <f>SUM($AE195,$AF195:AU195)-SUM($CH195:CX195)</f>
        <v>-260</v>
      </c>
      <c r="BX195" s="3">
        <f>SUM($AE195,$AF195:AV195)-SUM($CH195:CY195)</f>
        <v>-260</v>
      </c>
      <c r="BY195" s="3">
        <f>SUM($AE195,$AF195:AW195)-SUM($CH195:CZ195)</f>
        <v>-260</v>
      </c>
      <c r="BZ195" s="3">
        <f>SUM($AE195,$AF195:AX195)-SUM($CH195:DA195)</f>
        <v>-260</v>
      </c>
      <c r="CA195" s="3">
        <f>SUM($AE195,$AF195:AY195)-SUM($CH195:DB195)</f>
        <v>-260</v>
      </c>
      <c r="CB195" s="3">
        <f>SUM($AE195,$AF195:AZ195)-SUM($CH195:DC195)</f>
        <v>-260</v>
      </c>
      <c r="CC195" s="3">
        <f>SUM($AE195,$AF195:BA195)-SUM($CH195:DD195)</f>
        <v>-260</v>
      </c>
      <c r="CI195" s="3">
        <f t="array" ref="CI195">SUMPRODUCT($J195:$U195,TRANSPOSE(CI$3:CI$14))</f>
        <v>0</v>
      </c>
      <c r="CJ195" s="3">
        <f t="array" ref="CJ195">SUMPRODUCT($J195:$U195,TRANSPOSE(CJ$3:CJ$14))</f>
        <v>0</v>
      </c>
      <c r="CK195" s="3">
        <f t="array" ref="CK195">SUMPRODUCT($J195:$U195,TRANSPOSE(CK$3:CK$14))</f>
        <v>0</v>
      </c>
      <c r="CL195" s="3">
        <f t="array" ref="CL195">SUMPRODUCT($J195:$U195,TRANSPOSE(CL$3:CL$14))</f>
        <v>20</v>
      </c>
      <c r="CM195" s="3">
        <f t="array" ref="CM195">SUMPRODUCT($J195:$U195,TRANSPOSE(CM$3:CM$14))</f>
        <v>30</v>
      </c>
      <c r="CN195" s="3">
        <f t="array" ref="CN195">SUMPRODUCT($J195:$U195,TRANSPOSE(CN$3:CN$14))</f>
        <v>30</v>
      </c>
      <c r="CO195" s="3">
        <f t="array" ref="CO195">SUMPRODUCT($J195:$U195,TRANSPOSE(CO$3:CO$14))</f>
        <v>40</v>
      </c>
      <c r="CP195" s="3">
        <f t="array" ref="CP195">SUMPRODUCT($J195:$U195,TRANSPOSE(CP$3:CP$14))</f>
        <v>40</v>
      </c>
      <c r="CQ195" s="3">
        <f t="array" ref="CQ195">SUMPRODUCT($J195:$U195,TRANSPOSE(CQ$3:CQ$14))</f>
        <v>40</v>
      </c>
      <c r="CR195" s="3">
        <f t="array" ref="CR195">SUMPRODUCT($J195:$U195,TRANSPOSE(CR$3:CR$14))</f>
        <v>40</v>
      </c>
      <c r="CS195" s="3">
        <f t="array" ref="CS195">SUMPRODUCT($J195:$U195,TRANSPOSE(CS$3:CS$14))</f>
        <v>20</v>
      </c>
      <c r="CT195" s="3">
        <f t="array" ref="CT195">SUMPRODUCT($J195:$U195,TRANSPOSE(CT$3:CT$14))</f>
        <v>0</v>
      </c>
      <c r="CU195" s="3">
        <f t="array" ref="CU195">SUMPRODUCT($J195:$U195,TRANSPOSE(CU$3:CU$14))</f>
        <v>0</v>
      </c>
      <c r="CV195" s="3">
        <f t="array" ref="CV195">SUMPRODUCT($J195:$U195,TRANSPOSE(CV$3:CV$14))</f>
        <v>0</v>
      </c>
      <c r="CW195" s="3">
        <f t="array" ref="CW195">SUMPRODUCT($J195:$U195,TRANSPOSE(CW$3:CW$14))</f>
        <v>0</v>
      </c>
      <c r="CX195" s="3">
        <f t="array" ref="CX195">SUMPRODUCT($J195:$U195,TRANSPOSE(CX$3:CX$14))</f>
        <v>0</v>
      </c>
      <c r="CY195" s="3">
        <f t="array" ref="CY195">SUMPRODUCT($J195:$U195,TRANSPOSE(CY$3:CY$14))</f>
        <v>0</v>
      </c>
      <c r="CZ195" s="3">
        <f t="array" ref="CZ195">SUMPRODUCT($J195:$U195,TRANSPOSE(CZ$3:CZ$14))</f>
        <v>0</v>
      </c>
      <c r="DA195" s="3">
        <f t="array" ref="DA195">SUMPRODUCT($J195:$U195,TRANSPOSE(DA$3:DA$14))</f>
        <v>0</v>
      </c>
      <c r="DB195" s="3">
        <f t="array" ref="DB195">SUMPRODUCT($J195:$U195,TRANSPOSE(DB$3:DB$14))</f>
        <v>0</v>
      </c>
      <c r="DC195" s="3">
        <f t="array" ref="DC195">SUMPRODUCT($J195:$U195,TRANSPOSE(DC$3:DC$14))</f>
        <v>0</v>
      </c>
      <c r="DD195" s="3">
        <f t="array" ref="DD195">SUMPRODUCT($J195:$U195,TRANSPOSE(DD$3:DD$14))</f>
        <v>0</v>
      </c>
      <c r="DE195" s="3">
        <f t="array" ref="DE195">SUMPRODUCT($J195:$U195,TRANSPOSE(DE$3:DE$14))</f>
        <v>0</v>
      </c>
    </row>
    <row r="196" spans="1:109" ht="13.5" thickBot="1" x14ac:dyDescent="0.25">
      <c r="A196" s="3">
        <v>774</v>
      </c>
      <c r="B196" s="9" t="s">
        <v>698</v>
      </c>
      <c r="C196" s="3" t="s">
        <v>16</v>
      </c>
      <c r="D196" s="3">
        <v>401040715</v>
      </c>
      <c r="F196" s="3" t="s">
        <v>699</v>
      </c>
      <c r="G196" s="3" t="s">
        <v>14</v>
      </c>
      <c r="H196" s="3">
        <v>2</v>
      </c>
      <c r="I196" s="3">
        <v>8</v>
      </c>
      <c r="J196" s="3">
        <v>0</v>
      </c>
      <c r="K196" s="3">
        <v>4</v>
      </c>
      <c r="L196" s="3">
        <v>0</v>
      </c>
      <c r="M196" s="3">
        <v>0</v>
      </c>
      <c r="N196" s="3">
        <v>4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f t="shared" si="45"/>
        <v>8</v>
      </c>
      <c r="W196" s="3">
        <f t="shared" si="44"/>
        <v>1040</v>
      </c>
      <c r="X196" s="6" t="s">
        <v>697</v>
      </c>
      <c r="Y196" s="3">
        <v>34</v>
      </c>
      <c r="Z196" s="3" t="s">
        <v>700</v>
      </c>
      <c r="AA196" s="3" t="s">
        <v>701</v>
      </c>
      <c r="AB196" s="3" t="s">
        <v>702</v>
      </c>
      <c r="AC196" s="3" t="s">
        <v>703</v>
      </c>
      <c r="BJ196" s="3">
        <f>SUM($AE196,$AF196:AH196)-SUM($CH196:CK196)</f>
        <v>0</v>
      </c>
      <c r="BK196" s="3">
        <f>SUM($AE196,$AF196:AI196)-SUM($CH196:CL196)</f>
        <v>-80</v>
      </c>
      <c r="BL196" s="3">
        <f>SUM($AE196,$AF196:AJ196)-SUM($CH196:CM196)</f>
        <v>-200</v>
      </c>
      <c r="BM196" s="3">
        <f>SUM($AE196,$AF196:AK196)-SUM($CH196:CN196)</f>
        <v>-320</v>
      </c>
      <c r="BN196" s="3">
        <f>SUM($AE196,$AF196:AL196)-SUM($CH196:CO196)</f>
        <v>-480</v>
      </c>
      <c r="BO196" s="3">
        <f>SUM($AE196,$AF196:AM196)-SUM($CH196:CP196)</f>
        <v>-640</v>
      </c>
      <c r="BP196" s="3">
        <f>SUM($AE196,$AF196:AN196)-SUM($CH196:CQ196)</f>
        <v>-800</v>
      </c>
      <c r="BQ196" s="3">
        <f>SUM($AE196,$AF196:AO196)-SUM($CH196:CR196)</f>
        <v>-960</v>
      </c>
      <c r="BR196" s="3">
        <f>SUM($AE196,$AF196:AP196)-SUM($CH196:CS196)</f>
        <v>-1040</v>
      </c>
      <c r="BS196" s="3">
        <f>SUM($AE196,$AF196:AQ196)-SUM($CH196:CT196)</f>
        <v>-1040</v>
      </c>
      <c r="BT196" s="3">
        <f>SUM($AE196,$AF196:AR196)-SUM($CH196:CU196)</f>
        <v>-1040</v>
      </c>
      <c r="BU196" s="3">
        <f>SUM($AE196,$AF196:AS196)-SUM($CH196:CV196)</f>
        <v>-1040</v>
      </c>
      <c r="BV196" s="3">
        <f>SUM($AE196,$AF196:AT196)-SUM($CH196:CW196)</f>
        <v>-1040</v>
      </c>
      <c r="BW196" s="3">
        <f>SUM($AE196,$AF196:AU196)-SUM($CH196:CX196)</f>
        <v>-1040</v>
      </c>
      <c r="BX196" s="3">
        <f>SUM($AE196,$AF196:AV196)-SUM($CH196:CY196)</f>
        <v>-1040</v>
      </c>
      <c r="BY196" s="3">
        <f>SUM($AE196,$AF196:AW196)-SUM($CH196:CZ196)</f>
        <v>-1040</v>
      </c>
      <c r="BZ196" s="3">
        <f>SUM($AE196,$AF196:AX196)-SUM($CH196:DA196)</f>
        <v>-1040</v>
      </c>
      <c r="CA196" s="3">
        <f>SUM($AE196,$AF196:AY196)-SUM($CH196:DB196)</f>
        <v>-1040</v>
      </c>
      <c r="CB196" s="3">
        <f>SUM($AE196,$AF196:AZ196)-SUM($CH196:DC196)</f>
        <v>-1040</v>
      </c>
      <c r="CC196" s="3">
        <f>SUM($AE196,$AF196:BA196)-SUM($CH196:DD196)</f>
        <v>-1040</v>
      </c>
      <c r="CI196" s="3">
        <f t="array" ref="CI196">SUMPRODUCT($J196:$U196,TRANSPOSE(CI$3:CI$14))</f>
        <v>0</v>
      </c>
      <c r="CJ196" s="3">
        <f t="array" ref="CJ196">SUMPRODUCT($J196:$U196,TRANSPOSE(CJ$3:CJ$14))</f>
        <v>0</v>
      </c>
      <c r="CK196" s="3">
        <f t="array" ref="CK196">SUMPRODUCT($J196:$U196,TRANSPOSE(CK$3:CK$14))</f>
        <v>0</v>
      </c>
      <c r="CL196" s="3">
        <f t="array" ref="CL196">SUMPRODUCT($J196:$U196,TRANSPOSE(CL$3:CL$14))</f>
        <v>80</v>
      </c>
      <c r="CM196" s="3">
        <f t="array" ref="CM196">SUMPRODUCT($J196:$U196,TRANSPOSE(CM$3:CM$14))</f>
        <v>120</v>
      </c>
      <c r="CN196" s="3">
        <f t="array" ref="CN196">SUMPRODUCT($J196:$U196,TRANSPOSE(CN$3:CN$14))</f>
        <v>120</v>
      </c>
      <c r="CO196" s="3">
        <f t="array" ref="CO196">SUMPRODUCT($J196:$U196,TRANSPOSE(CO$3:CO$14))</f>
        <v>160</v>
      </c>
      <c r="CP196" s="3">
        <f t="array" ref="CP196">SUMPRODUCT($J196:$U196,TRANSPOSE(CP$3:CP$14))</f>
        <v>160</v>
      </c>
      <c r="CQ196" s="3">
        <f t="array" ref="CQ196">SUMPRODUCT($J196:$U196,TRANSPOSE(CQ$3:CQ$14))</f>
        <v>160</v>
      </c>
      <c r="CR196" s="3">
        <f t="array" ref="CR196">SUMPRODUCT($J196:$U196,TRANSPOSE(CR$3:CR$14))</f>
        <v>160</v>
      </c>
      <c r="CS196" s="3">
        <f t="array" ref="CS196">SUMPRODUCT($J196:$U196,TRANSPOSE(CS$3:CS$14))</f>
        <v>80</v>
      </c>
      <c r="CT196" s="3">
        <f t="array" ref="CT196">SUMPRODUCT($J196:$U196,TRANSPOSE(CT$3:CT$14))</f>
        <v>0</v>
      </c>
      <c r="CU196" s="3">
        <f t="array" ref="CU196">SUMPRODUCT($J196:$U196,TRANSPOSE(CU$3:CU$14))</f>
        <v>0</v>
      </c>
      <c r="CV196" s="3">
        <f t="array" ref="CV196">SUMPRODUCT($J196:$U196,TRANSPOSE(CV$3:CV$14))</f>
        <v>0</v>
      </c>
      <c r="CW196" s="3">
        <f t="array" ref="CW196">SUMPRODUCT($J196:$U196,TRANSPOSE(CW$3:CW$14))</f>
        <v>0</v>
      </c>
      <c r="CX196" s="3">
        <f t="array" ref="CX196">SUMPRODUCT($J196:$U196,TRANSPOSE(CX$3:CX$14))</f>
        <v>0</v>
      </c>
      <c r="CY196" s="3">
        <f t="array" ref="CY196">SUMPRODUCT($J196:$U196,TRANSPOSE(CY$3:CY$14))</f>
        <v>0</v>
      </c>
      <c r="CZ196" s="3">
        <f t="array" ref="CZ196">SUMPRODUCT($J196:$U196,TRANSPOSE(CZ$3:CZ$14))</f>
        <v>0</v>
      </c>
      <c r="DA196" s="3">
        <f t="array" ref="DA196">SUMPRODUCT($J196:$U196,TRANSPOSE(DA$3:DA$14))</f>
        <v>0</v>
      </c>
      <c r="DB196" s="3">
        <f t="array" ref="DB196">SUMPRODUCT($J196:$U196,TRANSPOSE(DB$3:DB$14))</f>
        <v>0</v>
      </c>
      <c r="DC196" s="3">
        <f t="array" ref="DC196">SUMPRODUCT($J196:$U196,TRANSPOSE(DC$3:DC$14))</f>
        <v>0</v>
      </c>
      <c r="DD196" s="3">
        <f t="array" ref="DD196">SUMPRODUCT($J196:$U196,TRANSPOSE(DD$3:DD$14))</f>
        <v>0</v>
      </c>
      <c r="DE196" s="3">
        <f t="array" ref="DE196">SUMPRODUCT($J196:$U196,TRANSPOSE(DE$3:DE$14))</f>
        <v>0</v>
      </c>
    </row>
    <row r="197" spans="1:109" ht="13.5" thickBot="1" x14ac:dyDescent="0.25">
      <c r="A197" s="3">
        <v>775</v>
      </c>
      <c r="B197" s="9" t="s">
        <v>704</v>
      </c>
      <c r="C197" s="3" t="s">
        <v>16</v>
      </c>
      <c r="D197" s="3">
        <v>400942909</v>
      </c>
      <c r="F197" s="3" t="s">
        <v>699</v>
      </c>
      <c r="G197" s="3" t="s">
        <v>14</v>
      </c>
      <c r="H197" s="3">
        <v>2</v>
      </c>
      <c r="I197" s="3">
        <v>65</v>
      </c>
      <c r="J197" s="3">
        <v>0</v>
      </c>
      <c r="K197" s="3">
        <v>33</v>
      </c>
      <c r="L197" s="3">
        <v>0</v>
      </c>
      <c r="M197" s="3">
        <v>0</v>
      </c>
      <c r="N197" s="3">
        <v>32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f t="shared" si="45"/>
        <v>65</v>
      </c>
      <c r="W197" s="3">
        <f t="shared" si="44"/>
        <v>8450</v>
      </c>
      <c r="X197" s="6" t="s">
        <v>697</v>
      </c>
      <c r="Y197" s="3">
        <v>30</v>
      </c>
      <c r="Z197" s="3" t="s">
        <v>700</v>
      </c>
      <c r="AA197" s="3" t="s">
        <v>701</v>
      </c>
      <c r="AB197" s="3" t="s">
        <v>702</v>
      </c>
      <c r="AC197" s="3" t="s">
        <v>703</v>
      </c>
      <c r="BJ197" s="3">
        <f>SUM($AE197,$AF197:AH197)-SUM($CH197:CK197)</f>
        <v>0</v>
      </c>
      <c r="BK197" s="3">
        <f>SUM($AE197,$AF197:AI197)-SUM($CH197:CL197)</f>
        <v>-650</v>
      </c>
      <c r="BL197" s="3">
        <f>SUM($AE197,$AF197:AJ197)-SUM($CH197:CM197)</f>
        <v>-1625</v>
      </c>
      <c r="BM197" s="3">
        <f>SUM($AE197,$AF197:AK197)-SUM($CH197:CN197)</f>
        <v>-2600</v>
      </c>
      <c r="BN197" s="3">
        <f>SUM($AE197,$AF197:AL197)-SUM($CH197:CO197)</f>
        <v>-3900</v>
      </c>
      <c r="BO197" s="3">
        <f>SUM($AE197,$AF197:AM197)-SUM($CH197:CP197)</f>
        <v>-5200</v>
      </c>
      <c r="BP197" s="3">
        <f>SUM($AE197,$AF197:AN197)-SUM($CH197:CQ197)</f>
        <v>-6500</v>
      </c>
      <c r="BQ197" s="3">
        <f>SUM($AE197,$AF197:AO197)-SUM($CH197:CR197)</f>
        <v>-7800</v>
      </c>
      <c r="BR197" s="3">
        <f>SUM($AE197,$AF197:AP197)-SUM($CH197:CS197)</f>
        <v>-8450</v>
      </c>
      <c r="BS197" s="3">
        <f>SUM($AE197,$AF197:AQ197)-SUM($CH197:CT197)</f>
        <v>-8450</v>
      </c>
      <c r="BT197" s="3">
        <f>SUM($AE197,$AF197:AR197)-SUM($CH197:CU197)</f>
        <v>-8450</v>
      </c>
      <c r="BU197" s="3">
        <f>SUM($AE197,$AF197:AS197)-SUM($CH197:CV197)</f>
        <v>-8450</v>
      </c>
      <c r="BV197" s="3">
        <f>SUM($AE197,$AF197:AT197)-SUM($CH197:CW197)</f>
        <v>-8450</v>
      </c>
      <c r="BW197" s="3">
        <f>SUM($AE197,$AF197:AU197)-SUM($CH197:CX197)</f>
        <v>-8450</v>
      </c>
      <c r="BX197" s="3">
        <f>SUM($AE197,$AF197:AV197)-SUM($CH197:CY197)</f>
        <v>-8450</v>
      </c>
      <c r="BY197" s="3">
        <f>SUM($AE197,$AF197:AW197)-SUM($CH197:CZ197)</f>
        <v>-8450</v>
      </c>
      <c r="BZ197" s="3">
        <f>SUM($AE197,$AF197:AX197)-SUM($CH197:DA197)</f>
        <v>-8450</v>
      </c>
      <c r="CA197" s="3">
        <f>SUM($AE197,$AF197:AY197)-SUM($CH197:DB197)</f>
        <v>-8450</v>
      </c>
      <c r="CB197" s="3">
        <f>SUM($AE197,$AF197:AZ197)-SUM($CH197:DC197)</f>
        <v>-8450</v>
      </c>
      <c r="CC197" s="3">
        <f>SUM($AE197,$AF197:BA197)-SUM($CH197:DD197)</f>
        <v>-8450</v>
      </c>
      <c r="CI197" s="3">
        <f t="array" ref="CI197">SUMPRODUCT($J197:$U197,TRANSPOSE(CI$3:CI$14))</f>
        <v>0</v>
      </c>
      <c r="CJ197" s="3">
        <f t="array" ref="CJ197">SUMPRODUCT($J197:$U197,TRANSPOSE(CJ$3:CJ$14))</f>
        <v>0</v>
      </c>
      <c r="CK197" s="3">
        <f t="array" ref="CK197">SUMPRODUCT($J197:$U197,TRANSPOSE(CK$3:CK$14))</f>
        <v>0</v>
      </c>
      <c r="CL197" s="3">
        <f t="array" ref="CL197">SUMPRODUCT($J197:$U197,TRANSPOSE(CL$3:CL$14))</f>
        <v>650</v>
      </c>
      <c r="CM197" s="3">
        <f t="array" ref="CM197">SUMPRODUCT($J197:$U197,TRANSPOSE(CM$3:CM$14))</f>
        <v>975</v>
      </c>
      <c r="CN197" s="3">
        <f t="array" ref="CN197">SUMPRODUCT($J197:$U197,TRANSPOSE(CN$3:CN$14))</f>
        <v>975</v>
      </c>
      <c r="CO197" s="3">
        <f t="array" ref="CO197">SUMPRODUCT($J197:$U197,TRANSPOSE(CO$3:CO$14))</f>
        <v>1300</v>
      </c>
      <c r="CP197" s="3">
        <f t="array" ref="CP197">SUMPRODUCT($J197:$U197,TRANSPOSE(CP$3:CP$14))</f>
        <v>1300</v>
      </c>
      <c r="CQ197" s="3">
        <f t="array" ref="CQ197">SUMPRODUCT($J197:$U197,TRANSPOSE(CQ$3:CQ$14))</f>
        <v>1300</v>
      </c>
      <c r="CR197" s="3">
        <f t="array" ref="CR197">SUMPRODUCT($J197:$U197,TRANSPOSE(CR$3:CR$14))</f>
        <v>1300</v>
      </c>
      <c r="CS197" s="3">
        <f t="array" ref="CS197">SUMPRODUCT($J197:$U197,TRANSPOSE(CS$3:CS$14))</f>
        <v>650</v>
      </c>
      <c r="CT197" s="3">
        <f t="array" ref="CT197">SUMPRODUCT($J197:$U197,TRANSPOSE(CT$3:CT$14))</f>
        <v>0</v>
      </c>
      <c r="CU197" s="3">
        <f t="array" ref="CU197">SUMPRODUCT($J197:$U197,TRANSPOSE(CU$3:CU$14))</f>
        <v>0</v>
      </c>
      <c r="CV197" s="3">
        <f t="array" ref="CV197">SUMPRODUCT($J197:$U197,TRANSPOSE(CV$3:CV$14))</f>
        <v>0</v>
      </c>
      <c r="CW197" s="3">
        <f t="array" ref="CW197">SUMPRODUCT($J197:$U197,TRANSPOSE(CW$3:CW$14))</f>
        <v>0</v>
      </c>
      <c r="CX197" s="3">
        <f t="array" ref="CX197">SUMPRODUCT($J197:$U197,TRANSPOSE(CX$3:CX$14))</f>
        <v>0</v>
      </c>
      <c r="CY197" s="3">
        <f t="array" ref="CY197">SUMPRODUCT($J197:$U197,TRANSPOSE(CY$3:CY$14))</f>
        <v>0</v>
      </c>
      <c r="CZ197" s="3">
        <f t="array" ref="CZ197">SUMPRODUCT($J197:$U197,TRANSPOSE(CZ$3:CZ$14))</f>
        <v>0</v>
      </c>
      <c r="DA197" s="3">
        <f t="array" ref="DA197">SUMPRODUCT($J197:$U197,TRANSPOSE(DA$3:DA$14))</f>
        <v>0</v>
      </c>
      <c r="DB197" s="3">
        <f t="array" ref="DB197">SUMPRODUCT($J197:$U197,TRANSPOSE(DB$3:DB$14))</f>
        <v>0</v>
      </c>
      <c r="DC197" s="3">
        <f t="array" ref="DC197">SUMPRODUCT($J197:$U197,TRANSPOSE(DC$3:DC$14))</f>
        <v>0</v>
      </c>
      <c r="DD197" s="3">
        <f t="array" ref="DD197">SUMPRODUCT($J197:$U197,TRANSPOSE(DD$3:DD$14))</f>
        <v>0</v>
      </c>
      <c r="DE197" s="3">
        <f t="array" ref="DE197">SUMPRODUCT($J197:$U197,TRANSPOSE(DE$3:DE$14))</f>
        <v>0</v>
      </c>
    </row>
    <row r="198" spans="1:109" ht="13.5" thickBot="1" x14ac:dyDescent="0.25">
      <c r="A198" s="3">
        <v>776</v>
      </c>
      <c r="B198" s="9" t="s">
        <v>705</v>
      </c>
      <c r="C198" s="3" t="s">
        <v>16</v>
      </c>
      <c r="D198" s="3">
        <v>403174799</v>
      </c>
      <c r="E198" s="3" t="s">
        <v>706</v>
      </c>
      <c r="F198" s="3" t="s">
        <v>707</v>
      </c>
      <c r="G198" s="3" t="s">
        <v>14</v>
      </c>
      <c r="H198" s="3">
        <v>2</v>
      </c>
      <c r="I198" s="3">
        <v>3</v>
      </c>
      <c r="J198" s="3">
        <v>0</v>
      </c>
      <c r="K198" s="3">
        <v>1</v>
      </c>
      <c r="L198" s="3">
        <v>0</v>
      </c>
      <c r="M198" s="3">
        <v>0</v>
      </c>
      <c r="N198" s="3">
        <v>2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f t="shared" si="45"/>
        <v>3</v>
      </c>
      <c r="W198" s="3">
        <f t="shared" si="44"/>
        <v>390</v>
      </c>
      <c r="X198" s="6" t="s">
        <v>697</v>
      </c>
      <c r="Y198" s="3">
        <v>22</v>
      </c>
      <c r="Z198" s="3" t="s">
        <v>700</v>
      </c>
      <c r="AA198" s="3" t="s">
        <v>701</v>
      </c>
      <c r="AB198" s="3" t="s">
        <v>702</v>
      </c>
      <c r="AC198" s="3" t="s">
        <v>703</v>
      </c>
      <c r="BJ198" s="3">
        <f>SUM($AE198,$AF198:AH198)-SUM($CH198:CK198)</f>
        <v>0</v>
      </c>
      <c r="BK198" s="3">
        <f>SUM($AE198,$AF198:AI198)-SUM($CH198:CL198)</f>
        <v>-30</v>
      </c>
      <c r="BL198" s="3">
        <f>SUM($AE198,$AF198:AJ198)-SUM($CH198:CM198)</f>
        <v>-75</v>
      </c>
      <c r="BM198" s="3">
        <f>SUM($AE198,$AF198:AK198)-SUM($CH198:CN198)</f>
        <v>-120</v>
      </c>
      <c r="BN198" s="3">
        <f>SUM($AE198,$AF198:AL198)-SUM($CH198:CO198)</f>
        <v>-180</v>
      </c>
      <c r="BO198" s="3">
        <f>SUM($AE198,$AF198:AM198)-SUM($CH198:CP198)</f>
        <v>-240</v>
      </c>
      <c r="BP198" s="3">
        <f>SUM($AE198,$AF198:AN198)-SUM($CH198:CQ198)</f>
        <v>-300</v>
      </c>
      <c r="BQ198" s="3">
        <f>SUM($AE198,$AF198:AO198)-SUM($CH198:CR198)</f>
        <v>-360</v>
      </c>
      <c r="BR198" s="3">
        <f>SUM($AE198,$AF198:AP198)-SUM($CH198:CS198)</f>
        <v>-390</v>
      </c>
      <c r="BS198" s="3">
        <f>SUM($AE198,$AF198:AQ198)-SUM($CH198:CT198)</f>
        <v>-390</v>
      </c>
      <c r="BT198" s="3">
        <f>SUM($AE198,$AF198:AR198)-SUM($CH198:CU198)</f>
        <v>-390</v>
      </c>
      <c r="BU198" s="3">
        <f>SUM($AE198,$AF198:AS198)-SUM($CH198:CV198)</f>
        <v>-390</v>
      </c>
      <c r="BV198" s="3">
        <f>SUM($AE198,$AF198:AT198)-SUM($CH198:CW198)</f>
        <v>-390</v>
      </c>
      <c r="BW198" s="3">
        <f>SUM($AE198,$AF198:AU198)-SUM($CH198:CX198)</f>
        <v>-390</v>
      </c>
      <c r="BX198" s="3">
        <f>SUM($AE198,$AF198:AV198)-SUM($CH198:CY198)</f>
        <v>-390</v>
      </c>
      <c r="BY198" s="3">
        <f>SUM($AE198,$AF198:AW198)-SUM($CH198:CZ198)</f>
        <v>-390</v>
      </c>
      <c r="BZ198" s="3">
        <f>SUM($AE198,$AF198:AX198)-SUM($CH198:DA198)</f>
        <v>-390</v>
      </c>
      <c r="CA198" s="3">
        <f>SUM($AE198,$AF198:AY198)-SUM($CH198:DB198)</f>
        <v>-390</v>
      </c>
      <c r="CB198" s="3">
        <f>SUM($AE198,$AF198:AZ198)-SUM($CH198:DC198)</f>
        <v>-390</v>
      </c>
      <c r="CC198" s="3">
        <f>SUM($AE198,$AF198:BA198)-SUM($CH198:DD198)</f>
        <v>-390</v>
      </c>
      <c r="CI198" s="3">
        <f t="array" ref="CI198">SUMPRODUCT($J198:$U198,TRANSPOSE(CI$3:CI$14))</f>
        <v>0</v>
      </c>
      <c r="CJ198" s="3">
        <f t="array" ref="CJ198">SUMPRODUCT($J198:$U198,TRANSPOSE(CJ$3:CJ$14))</f>
        <v>0</v>
      </c>
      <c r="CK198" s="3">
        <f t="array" ref="CK198">SUMPRODUCT($J198:$U198,TRANSPOSE(CK$3:CK$14))</f>
        <v>0</v>
      </c>
      <c r="CL198" s="3">
        <f t="array" ref="CL198">SUMPRODUCT($J198:$U198,TRANSPOSE(CL$3:CL$14))</f>
        <v>30</v>
      </c>
      <c r="CM198" s="3">
        <f t="array" ref="CM198">SUMPRODUCT($J198:$U198,TRANSPOSE(CM$3:CM$14))</f>
        <v>45</v>
      </c>
      <c r="CN198" s="3">
        <f t="array" ref="CN198">SUMPRODUCT($J198:$U198,TRANSPOSE(CN$3:CN$14))</f>
        <v>45</v>
      </c>
      <c r="CO198" s="3">
        <f t="array" ref="CO198">SUMPRODUCT($J198:$U198,TRANSPOSE(CO$3:CO$14))</f>
        <v>60</v>
      </c>
      <c r="CP198" s="3">
        <f t="array" ref="CP198">SUMPRODUCT($J198:$U198,TRANSPOSE(CP$3:CP$14))</f>
        <v>60</v>
      </c>
      <c r="CQ198" s="3">
        <f t="array" ref="CQ198">SUMPRODUCT($J198:$U198,TRANSPOSE(CQ$3:CQ$14))</f>
        <v>60</v>
      </c>
      <c r="CR198" s="3">
        <f t="array" ref="CR198">SUMPRODUCT($J198:$U198,TRANSPOSE(CR$3:CR$14))</f>
        <v>60</v>
      </c>
      <c r="CS198" s="3">
        <f t="array" ref="CS198">SUMPRODUCT($J198:$U198,TRANSPOSE(CS$3:CS$14))</f>
        <v>30</v>
      </c>
      <c r="CT198" s="3">
        <f t="array" ref="CT198">SUMPRODUCT($J198:$U198,TRANSPOSE(CT$3:CT$14))</f>
        <v>0</v>
      </c>
      <c r="CU198" s="3">
        <f t="array" ref="CU198">SUMPRODUCT($J198:$U198,TRANSPOSE(CU$3:CU$14))</f>
        <v>0</v>
      </c>
      <c r="CV198" s="3">
        <f t="array" ref="CV198">SUMPRODUCT($J198:$U198,TRANSPOSE(CV$3:CV$14))</f>
        <v>0</v>
      </c>
      <c r="CW198" s="3">
        <f t="array" ref="CW198">SUMPRODUCT($J198:$U198,TRANSPOSE(CW$3:CW$14))</f>
        <v>0</v>
      </c>
      <c r="CX198" s="3">
        <f t="array" ref="CX198">SUMPRODUCT($J198:$U198,TRANSPOSE(CX$3:CX$14))</f>
        <v>0</v>
      </c>
      <c r="CY198" s="3">
        <f t="array" ref="CY198">SUMPRODUCT($J198:$U198,TRANSPOSE(CY$3:CY$14))</f>
        <v>0</v>
      </c>
      <c r="CZ198" s="3">
        <f t="array" ref="CZ198">SUMPRODUCT($J198:$U198,TRANSPOSE(CZ$3:CZ$14))</f>
        <v>0</v>
      </c>
      <c r="DA198" s="3">
        <f t="array" ref="DA198">SUMPRODUCT($J198:$U198,TRANSPOSE(DA$3:DA$14))</f>
        <v>0</v>
      </c>
      <c r="DB198" s="3">
        <f t="array" ref="DB198">SUMPRODUCT($J198:$U198,TRANSPOSE(DB$3:DB$14))</f>
        <v>0</v>
      </c>
      <c r="DC198" s="3">
        <f t="array" ref="DC198">SUMPRODUCT($J198:$U198,TRANSPOSE(DC$3:DC$14))</f>
        <v>0</v>
      </c>
      <c r="DD198" s="3">
        <f t="array" ref="DD198">SUMPRODUCT($J198:$U198,TRANSPOSE(DD$3:DD$14))</f>
        <v>0</v>
      </c>
      <c r="DE198" s="3">
        <f t="array" ref="DE198">SUMPRODUCT($J198:$U198,TRANSPOSE(DE$3:DE$14))</f>
        <v>0</v>
      </c>
    </row>
    <row r="199" spans="1:109" ht="13.5" thickBot="1" x14ac:dyDescent="0.25">
      <c r="A199" s="3">
        <v>811</v>
      </c>
      <c r="B199" s="9" t="s">
        <v>708</v>
      </c>
      <c r="C199" s="3" t="s">
        <v>16</v>
      </c>
      <c r="D199" s="3">
        <v>400571854</v>
      </c>
      <c r="E199" s="3">
        <v>409936603</v>
      </c>
      <c r="F199" s="3" t="s">
        <v>709</v>
      </c>
      <c r="G199" s="3" t="s">
        <v>14</v>
      </c>
      <c r="H199" s="3">
        <v>2</v>
      </c>
      <c r="I199" s="3">
        <v>25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1</v>
      </c>
      <c r="R199" s="3">
        <v>0</v>
      </c>
      <c r="S199" s="3">
        <v>0</v>
      </c>
      <c r="T199" s="3">
        <v>0</v>
      </c>
      <c r="U199" s="3">
        <v>0</v>
      </c>
      <c r="V199" s="3">
        <f t="shared" si="45"/>
        <v>1</v>
      </c>
      <c r="W199" s="3">
        <f t="shared" si="44"/>
        <v>142</v>
      </c>
      <c r="X199" s="6" t="s">
        <v>326</v>
      </c>
      <c r="Y199" s="3">
        <v>1.6</v>
      </c>
      <c r="Z199" s="3" t="s">
        <v>690</v>
      </c>
      <c r="BJ199" s="3">
        <f>SUM($AE199,$AF199:AH199)-SUM($CH199:CK199)</f>
        <v>-10</v>
      </c>
      <c r="BK199" s="3">
        <f>SUM($AE199,$AF199:AI199)-SUM($CH199:CL199)</f>
        <v>-25</v>
      </c>
      <c r="BL199" s="3">
        <f>SUM($AE199,$AF199:AJ199)-SUM($CH199:CM199)</f>
        <v>-42</v>
      </c>
      <c r="BM199" s="3">
        <f>SUM($AE199,$AF199:AK199)-SUM($CH199:CN199)</f>
        <v>-62</v>
      </c>
      <c r="BN199" s="3">
        <f>SUM($AE199,$AF199:AL199)-SUM($CH199:CO199)</f>
        <v>-82</v>
      </c>
      <c r="BO199" s="3">
        <f>SUM($AE199,$AF199:AM199)-SUM($CH199:CP199)</f>
        <v>-102</v>
      </c>
      <c r="BP199" s="3">
        <f>SUM($AE199,$AF199:AN199)-SUM($CH199:CQ199)</f>
        <v>-122</v>
      </c>
      <c r="BQ199" s="3">
        <f>SUM($AE199,$AF199:AO199)-SUM($CH199:CR199)</f>
        <v>-142</v>
      </c>
      <c r="BR199" s="3">
        <f>SUM($AE199,$AF199:AP199)-SUM($CH199:CS199)</f>
        <v>-142</v>
      </c>
      <c r="BS199" s="3">
        <f>SUM($AE199,$AF199:AQ199)-SUM($CH199:CT199)</f>
        <v>-142</v>
      </c>
      <c r="BT199" s="3">
        <f>SUM($AE199,$AF199:AR199)-SUM($CH199:CU199)</f>
        <v>-142</v>
      </c>
      <c r="BU199" s="3">
        <f>SUM($AE199,$AF199:AS199)-SUM($CH199:CV199)</f>
        <v>-142</v>
      </c>
      <c r="BV199" s="3">
        <f>SUM($AE199,$AF199:AT199)-SUM($CH199:CW199)</f>
        <v>-142</v>
      </c>
      <c r="BW199" s="3">
        <f>SUM($AE199,$AF199:AU199)-SUM($CH199:CX199)</f>
        <v>-142</v>
      </c>
      <c r="BX199" s="3">
        <f>SUM($AE199,$AF199:AV199)-SUM($CH199:CY199)</f>
        <v>-142</v>
      </c>
      <c r="BY199" s="3">
        <f>SUM($AE199,$AF199:AW199)-SUM($CH199:CZ199)</f>
        <v>-142</v>
      </c>
      <c r="BZ199" s="3">
        <f>SUM($AE199,$AF199:AX199)-SUM($CH199:DA199)</f>
        <v>-142</v>
      </c>
      <c r="CA199" s="3">
        <f>SUM($AE199,$AF199:AY199)-SUM($CH199:DB199)</f>
        <v>-142</v>
      </c>
      <c r="CB199" s="3">
        <f>SUM($AE199,$AF199:AZ199)-SUM($CH199:DC199)</f>
        <v>-142</v>
      </c>
      <c r="CC199" s="3">
        <f>SUM($AE199,$AF199:BA199)-SUM($CH199:DD199)</f>
        <v>-142</v>
      </c>
      <c r="CI199" s="3">
        <f t="array" ref="CI199">SUMPRODUCT($J199:$U199,TRANSPOSE(CI$3:CI$14))</f>
        <v>0</v>
      </c>
      <c r="CJ199" s="3">
        <f t="array" ref="CJ199">SUMPRODUCT($J199:$U199,TRANSPOSE(CJ$3:CJ$14))</f>
        <v>0</v>
      </c>
      <c r="CK199" s="3">
        <f t="array" ref="CK199">SUMPRODUCT($J199:$U199,TRANSPOSE(CK$3:CK$14))</f>
        <v>10</v>
      </c>
      <c r="CL199" s="3">
        <f t="array" ref="CL199">SUMPRODUCT($J199:$U199,TRANSPOSE(CL$3:CL$14))</f>
        <v>15</v>
      </c>
      <c r="CM199" s="3">
        <f t="array" ref="CM199">SUMPRODUCT($J199:$U199,TRANSPOSE(CM$3:CM$14))</f>
        <v>17</v>
      </c>
      <c r="CN199" s="3">
        <f t="array" ref="CN199">SUMPRODUCT($J199:$U199,TRANSPOSE(CN$3:CN$14))</f>
        <v>20</v>
      </c>
      <c r="CO199" s="3">
        <f t="array" ref="CO199">SUMPRODUCT($J199:$U199,TRANSPOSE(CO$3:CO$14))</f>
        <v>20</v>
      </c>
      <c r="CP199" s="3">
        <f t="array" ref="CP199">SUMPRODUCT($J199:$U199,TRANSPOSE(CP$3:CP$14))</f>
        <v>20</v>
      </c>
      <c r="CQ199" s="3">
        <f t="array" ref="CQ199">SUMPRODUCT($J199:$U199,TRANSPOSE(CQ$3:CQ$14))</f>
        <v>20</v>
      </c>
      <c r="CR199" s="3">
        <f t="array" ref="CR199">SUMPRODUCT($J199:$U199,TRANSPOSE(CR$3:CR$14))</f>
        <v>20</v>
      </c>
      <c r="CS199" s="3">
        <f t="array" ref="CS199">SUMPRODUCT($J199:$U199,TRANSPOSE(CS$3:CS$14))</f>
        <v>0</v>
      </c>
      <c r="CT199" s="3">
        <f t="array" ref="CT199">SUMPRODUCT($J199:$U199,TRANSPOSE(CT$3:CT$14))</f>
        <v>0</v>
      </c>
      <c r="CU199" s="3">
        <f t="array" ref="CU199">SUMPRODUCT($J199:$U199,TRANSPOSE(CU$3:CU$14))</f>
        <v>0</v>
      </c>
      <c r="CV199" s="3">
        <f t="array" ref="CV199">SUMPRODUCT($J199:$U199,TRANSPOSE(CV$3:CV$14))</f>
        <v>0</v>
      </c>
      <c r="CW199" s="3">
        <f t="array" ref="CW199">SUMPRODUCT($J199:$U199,TRANSPOSE(CW$3:CW$14))</f>
        <v>0</v>
      </c>
      <c r="CX199" s="3">
        <f t="array" ref="CX199">SUMPRODUCT($J199:$U199,TRANSPOSE(CX$3:CX$14))</f>
        <v>0</v>
      </c>
      <c r="CY199" s="3">
        <f t="array" ref="CY199">SUMPRODUCT($J199:$U199,TRANSPOSE(CY$3:CY$14))</f>
        <v>0</v>
      </c>
      <c r="CZ199" s="3">
        <f t="array" ref="CZ199">SUMPRODUCT($J199:$U199,TRANSPOSE(CZ$3:CZ$14))</f>
        <v>0</v>
      </c>
      <c r="DA199" s="3">
        <f t="array" ref="DA199">SUMPRODUCT($J199:$U199,TRANSPOSE(DA$3:DA$14))</f>
        <v>0</v>
      </c>
      <c r="DB199" s="3">
        <f t="array" ref="DB199">SUMPRODUCT($J199:$U199,TRANSPOSE(DB$3:DB$14))</f>
        <v>0</v>
      </c>
      <c r="DC199" s="3">
        <f t="array" ref="DC199">SUMPRODUCT($J199:$U199,TRANSPOSE(DC$3:DC$14))</f>
        <v>0</v>
      </c>
      <c r="DD199" s="3">
        <f t="array" ref="DD199">SUMPRODUCT($J199:$U199,TRANSPOSE(DD$3:DD$14))</f>
        <v>0</v>
      </c>
      <c r="DE199" s="3">
        <f t="array" ref="DE199">SUMPRODUCT($J199:$U199,TRANSPOSE(DE$3:DE$14))</f>
        <v>0</v>
      </c>
    </row>
    <row r="200" spans="1:109" ht="13.5" thickBot="1" x14ac:dyDescent="0.25">
      <c r="A200" s="3">
        <v>836</v>
      </c>
      <c r="B200" s="9" t="s">
        <v>340</v>
      </c>
      <c r="C200" s="3" t="s">
        <v>16</v>
      </c>
      <c r="D200" s="3">
        <v>584100192</v>
      </c>
      <c r="E200" s="3">
        <v>400563162</v>
      </c>
      <c r="F200" s="3" t="s">
        <v>341</v>
      </c>
      <c r="G200" s="3" t="s">
        <v>14</v>
      </c>
      <c r="H200" s="3">
        <v>2</v>
      </c>
      <c r="I200" s="3">
        <v>32</v>
      </c>
      <c r="J200" s="3">
        <v>0</v>
      </c>
      <c r="K200" s="3">
        <v>0</v>
      </c>
      <c r="L200" s="3">
        <v>16</v>
      </c>
      <c r="M200" s="3">
        <v>0</v>
      </c>
      <c r="N200" s="3">
        <v>0</v>
      </c>
      <c r="O200" s="3">
        <v>16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f t="shared" si="45"/>
        <v>32</v>
      </c>
      <c r="W200" s="3">
        <f t="shared" si="44"/>
        <v>4160</v>
      </c>
      <c r="X200" s="6" t="s">
        <v>710</v>
      </c>
      <c r="Y200" s="3">
        <v>0.152</v>
      </c>
      <c r="Z200" s="3" t="s">
        <v>594</v>
      </c>
      <c r="AA200" s="3" t="s">
        <v>128</v>
      </c>
      <c r="AB200" s="3" t="s">
        <v>129</v>
      </c>
      <c r="AC200" s="23" t="s">
        <v>130</v>
      </c>
      <c r="BJ200" s="3">
        <f>SUM($AE200,$AF200:AH200)-SUM($CH200:CK200)</f>
        <v>-320</v>
      </c>
      <c r="BK200" s="3">
        <f>SUM($AE200,$AF200:AI200)-SUM($CH200:CL200)</f>
        <v>-800</v>
      </c>
      <c r="BL200" s="3">
        <f>SUM($AE200,$AF200:AJ200)-SUM($CH200:CM200)</f>
        <v>-1280</v>
      </c>
      <c r="BM200" s="3">
        <f>SUM($AE200,$AF200:AK200)-SUM($CH200:CN200)</f>
        <v>-1920</v>
      </c>
      <c r="BN200" s="3">
        <f>SUM($AE200,$AF200:AL200)-SUM($CH200:CO200)</f>
        <v>-2560</v>
      </c>
      <c r="BO200" s="3">
        <f>SUM($AE200,$AF200:AM200)-SUM($CH200:CP200)</f>
        <v>-3200</v>
      </c>
      <c r="BP200" s="3">
        <f>SUM($AE200,$AF200:AN200)-SUM($CH200:CQ200)</f>
        <v>-3840</v>
      </c>
      <c r="BQ200" s="3">
        <f>SUM($AE200,$AF200:AO200)-SUM($CH200:CR200)</f>
        <v>-4160</v>
      </c>
      <c r="BR200" s="3">
        <f>SUM($AE200,$AF200:AP200)-SUM($CH200:CS200)</f>
        <v>-4160</v>
      </c>
      <c r="BS200" s="3">
        <f>SUM($AE200,$AF200:AQ200)-SUM($CH200:CT200)</f>
        <v>-4160</v>
      </c>
      <c r="BT200" s="3">
        <f>SUM($AE200,$AF200:AR200)-SUM($CH200:CU200)</f>
        <v>-4160</v>
      </c>
      <c r="BU200" s="3">
        <f>SUM($AE200,$AF200:AS200)-SUM($CH200:CV200)</f>
        <v>-4160</v>
      </c>
      <c r="BV200" s="3">
        <f>SUM($AE200,$AF200:AT200)-SUM($CH200:CW200)</f>
        <v>-4160</v>
      </c>
      <c r="BW200" s="3">
        <f>SUM($AE200,$AF200:AU200)-SUM($CH200:CX200)</f>
        <v>-4160</v>
      </c>
      <c r="BX200" s="3">
        <f>SUM($AE200,$AF200:AV200)-SUM($CH200:CY200)</f>
        <v>-4160</v>
      </c>
      <c r="BY200" s="3">
        <f>SUM($AE200,$AF200:AW200)-SUM($CH200:CZ200)</f>
        <v>-4160</v>
      </c>
      <c r="BZ200" s="3">
        <f>SUM($AE200,$AF200:AX200)-SUM($CH200:DA200)</f>
        <v>-4160</v>
      </c>
      <c r="CA200" s="3">
        <f>SUM($AE200,$AF200:AY200)-SUM($CH200:DB200)</f>
        <v>-4160</v>
      </c>
      <c r="CB200" s="3">
        <f>SUM($AE200,$AF200:AZ200)-SUM($CH200:DC200)</f>
        <v>-4160</v>
      </c>
      <c r="CC200" s="3">
        <f>SUM($AE200,$AF200:BA200)-SUM($CH200:DD200)</f>
        <v>-4160</v>
      </c>
      <c r="CI200" s="3">
        <f t="array" ref="CI200">SUMPRODUCT($J200:$U200,TRANSPOSE(CI$3:CI$14))</f>
        <v>0</v>
      </c>
      <c r="CJ200" s="3">
        <f t="array" ref="CJ200">SUMPRODUCT($J200:$U200,TRANSPOSE(CJ$3:CJ$14))</f>
        <v>0</v>
      </c>
      <c r="CK200" s="3">
        <f t="array" ref="CK200">SUMPRODUCT($J200:$U200,TRANSPOSE(CK$3:CK$14))</f>
        <v>320</v>
      </c>
      <c r="CL200" s="3">
        <f t="array" ref="CL200">SUMPRODUCT($J200:$U200,TRANSPOSE(CL$3:CL$14))</f>
        <v>480</v>
      </c>
      <c r="CM200" s="3">
        <f t="array" ref="CM200">SUMPRODUCT($J200:$U200,TRANSPOSE(CM$3:CM$14))</f>
        <v>480</v>
      </c>
      <c r="CN200" s="3">
        <f t="array" ref="CN200">SUMPRODUCT($J200:$U200,TRANSPOSE(CN$3:CN$14))</f>
        <v>640</v>
      </c>
      <c r="CO200" s="3">
        <f t="array" ref="CO200">SUMPRODUCT($J200:$U200,TRANSPOSE(CO$3:CO$14))</f>
        <v>640</v>
      </c>
      <c r="CP200" s="3">
        <f t="array" ref="CP200">SUMPRODUCT($J200:$U200,TRANSPOSE(CP$3:CP$14))</f>
        <v>640</v>
      </c>
      <c r="CQ200" s="3">
        <f t="array" ref="CQ200">SUMPRODUCT($J200:$U200,TRANSPOSE(CQ$3:CQ$14))</f>
        <v>640</v>
      </c>
      <c r="CR200" s="3">
        <f t="array" ref="CR200">SUMPRODUCT($J200:$U200,TRANSPOSE(CR$3:CR$14))</f>
        <v>320</v>
      </c>
      <c r="CS200" s="3">
        <f t="array" ref="CS200">SUMPRODUCT($J200:$U200,TRANSPOSE(CS$3:CS$14))</f>
        <v>0</v>
      </c>
      <c r="CT200" s="3">
        <f t="array" ref="CT200">SUMPRODUCT($J200:$U200,TRANSPOSE(CT$3:CT$14))</f>
        <v>0</v>
      </c>
      <c r="CU200" s="3">
        <f t="array" ref="CU200">SUMPRODUCT($J200:$U200,TRANSPOSE(CU$3:CU$14))</f>
        <v>0</v>
      </c>
      <c r="CV200" s="3">
        <f t="array" ref="CV200">SUMPRODUCT($J200:$U200,TRANSPOSE(CV$3:CV$14))</f>
        <v>0</v>
      </c>
      <c r="CW200" s="3">
        <f t="array" ref="CW200">SUMPRODUCT($J200:$U200,TRANSPOSE(CW$3:CW$14))</f>
        <v>0</v>
      </c>
      <c r="CX200" s="3">
        <f t="array" ref="CX200">SUMPRODUCT($J200:$U200,TRANSPOSE(CX$3:CX$14))</f>
        <v>0</v>
      </c>
      <c r="CY200" s="3">
        <f t="array" ref="CY200">SUMPRODUCT($J200:$U200,TRANSPOSE(CY$3:CY$14))</f>
        <v>0</v>
      </c>
      <c r="CZ200" s="3">
        <f t="array" ref="CZ200">SUMPRODUCT($J200:$U200,TRANSPOSE(CZ$3:CZ$14))</f>
        <v>0</v>
      </c>
      <c r="DA200" s="3">
        <f t="array" ref="DA200">SUMPRODUCT($J200:$U200,TRANSPOSE(DA$3:DA$14))</f>
        <v>0</v>
      </c>
      <c r="DB200" s="3">
        <f t="array" ref="DB200">SUMPRODUCT($J200:$U200,TRANSPOSE(DB$3:DB$14))</f>
        <v>0</v>
      </c>
      <c r="DC200" s="3">
        <f t="array" ref="DC200">SUMPRODUCT($J200:$U200,TRANSPOSE(DC$3:DC$14))</f>
        <v>0</v>
      </c>
      <c r="DD200" s="3">
        <f t="array" ref="DD200">SUMPRODUCT($J200:$U200,TRANSPOSE(DD$3:DD$14))</f>
        <v>0</v>
      </c>
      <c r="DE200" s="3">
        <f t="array" ref="DE200">SUMPRODUCT($J200:$U200,TRANSPOSE(DE$3:DE$14))</f>
        <v>0</v>
      </c>
    </row>
    <row r="201" spans="1:109" ht="13.5" thickBot="1" x14ac:dyDescent="0.25">
      <c r="A201" s="3">
        <v>838</v>
      </c>
      <c r="B201" s="9" t="s">
        <v>711</v>
      </c>
      <c r="C201" s="3" t="s">
        <v>16</v>
      </c>
      <c r="D201" s="3" t="s">
        <v>712</v>
      </c>
      <c r="E201" s="3" t="s">
        <v>713</v>
      </c>
      <c r="F201" s="3" t="s">
        <v>714</v>
      </c>
      <c r="G201" s="3" t="s">
        <v>14</v>
      </c>
      <c r="H201" s="3">
        <v>2</v>
      </c>
      <c r="I201" s="3">
        <v>8</v>
      </c>
      <c r="J201" s="3">
        <v>0</v>
      </c>
      <c r="K201" s="3">
        <v>2</v>
      </c>
      <c r="L201" s="3">
        <v>0</v>
      </c>
      <c r="M201" s="3">
        <v>0</v>
      </c>
      <c r="N201" s="3">
        <v>6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f t="shared" si="45"/>
        <v>8</v>
      </c>
      <c r="W201" s="3">
        <f t="shared" si="44"/>
        <v>1040</v>
      </c>
      <c r="X201" s="8" t="s">
        <v>650</v>
      </c>
      <c r="Y201" s="3">
        <v>0.19</v>
      </c>
      <c r="Z201" s="3" t="s">
        <v>594</v>
      </c>
      <c r="AA201" s="3" t="s">
        <v>128</v>
      </c>
      <c r="AB201" s="3" t="s">
        <v>129</v>
      </c>
      <c r="AC201" s="23" t="s">
        <v>130</v>
      </c>
      <c r="BJ201" s="3">
        <f>SUM($AE201,$AF201:AH201)-SUM($CH201:CK201)</f>
        <v>0</v>
      </c>
      <c r="BK201" s="3">
        <f>SUM($AE201,$AF201:AI201)-SUM($CH201:CL201)</f>
        <v>-80</v>
      </c>
      <c r="BL201" s="3">
        <f>SUM($AE201,$AF201:AJ201)-SUM($CH201:CM201)</f>
        <v>-200</v>
      </c>
      <c r="BM201" s="3">
        <f>SUM($AE201,$AF201:AK201)-SUM($CH201:CN201)</f>
        <v>-320</v>
      </c>
      <c r="BN201" s="3">
        <f>SUM($AE201,$AF201:AL201)-SUM($CH201:CO201)</f>
        <v>-480</v>
      </c>
      <c r="BO201" s="3">
        <f>SUM($AE201,$AF201:AM201)-SUM($CH201:CP201)</f>
        <v>-640</v>
      </c>
      <c r="BP201" s="3">
        <f>SUM($AE201,$AF201:AN201)-SUM($CH201:CQ201)</f>
        <v>-800</v>
      </c>
      <c r="BQ201" s="3">
        <f>SUM($AE201,$AF201:AO201)-SUM($CH201:CR201)</f>
        <v>-960</v>
      </c>
      <c r="BR201" s="3">
        <f>SUM($AE201,$AF201:AP201)-SUM($CH201:CS201)</f>
        <v>-1040</v>
      </c>
      <c r="BS201" s="3">
        <f>SUM($AE201,$AF201:AQ201)-SUM($CH201:CT201)</f>
        <v>-1040</v>
      </c>
      <c r="BT201" s="3">
        <f>SUM($AE201,$AF201:AR201)-SUM($CH201:CU201)</f>
        <v>-1040</v>
      </c>
      <c r="BU201" s="3">
        <f>SUM($AE201,$AF201:AS201)-SUM($CH201:CV201)</f>
        <v>-1040</v>
      </c>
      <c r="BV201" s="3">
        <f>SUM($AE201,$AF201:AT201)-SUM($CH201:CW201)</f>
        <v>-1040</v>
      </c>
      <c r="BW201" s="3">
        <f>SUM($AE201,$AF201:AU201)-SUM($CH201:CX201)</f>
        <v>-1040</v>
      </c>
      <c r="BX201" s="3">
        <f>SUM($AE201,$AF201:AV201)-SUM($CH201:CY201)</f>
        <v>-1040</v>
      </c>
      <c r="BY201" s="3">
        <f>SUM($AE201,$AF201:AW201)-SUM($CH201:CZ201)</f>
        <v>-1040</v>
      </c>
      <c r="BZ201" s="3">
        <f>SUM($AE201,$AF201:AX201)-SUM($CH201:DA201)</f>
        <v>-1040</v>
      </c>
      <c r="CA201" s="3">
        <f>SUM($AE201,$AF201:AY201)-SUM($CH201:DB201)</f>
        <v>-1040</v>
      </c>
      <c r="CB201" s="3">
        <f>SUM($AE201,$AF201:AZ201)-SUM($CH201:DC201)</f>
        <v>-1040</v>
      </c>
      <c r="CC201" s="3">
        <f>SUM($AE201,$AF201:BA201)-SUM($CH201:DD201)</f>
        <v>-1040</v>
      </c>
      <c r="CI201" s="3">
        <f t="array" ref="CI201">SUMPRODUCT($J201:$U201,TRANSPOSE(CI$3:CI$14))</f>
        <v>0</v>
      </c>
      <c r="CJ201" s="3">
        <f t="array" ref="CJ201">SUMPRODUCT($J201:$U201,TRANSPOSE(CJ$3:CJ$14))</f>
        <v>0</v>
      </c>
      <c r="CK201" s="3">
        <f t="array" ref="CK201">SUMPRODUCT($J201:$U201,TRANSPOSE(CK$3:CK$14))</f>
        <v>0</v>
      </c>
      <c r="CL201" s="3">
        <f t="array" ref="CL201">SUMPRODUCT($J201:$U201,TRANSPOSE(CL$3:CL$14))</f>
        <v>80</v>
      </c>
      <c r="CM201" s="3">
        <f t="array" ref="CM201">SUMPRODUCT($J201:$U201,TRANSPOSE(CM$3:CM$14))</f>
        <v>120</v>
      </c>
      <c r="CN201" s="3">
        <f t="array" ref="CN201">SUMPRODUCT($J201:$U201,TRANSPOSE(CN$3:CN$14))</f>
        <v>120</v>
      </c>
      <c r="CO201" s="3">
        <f t="array" ref="CO201">SUMPRODUCT($J201:$U201,TRANSPOSE(CO$3:CO$14))</f>
        <v>160</v>
      </c>
      <c r="CP201" s="3">
        <f t="array" ref="CP201">SUMPRODUCT($J201:$U201,TRANSPOSE(CP$3:CP$14))</f>
        <v>160</v>
      </c>
      <c r="CQ201" s="3">
        <f t="array" ref="CQ201">SUMPRODUCT($J201:$U201,TRANSPOSE(CQ$3:CQ$14))</f>
        <v>160</v>
      </c>
      <c r="CR201" s="3">
        <f t="array" ref="CR201">SUMPRODUCT($J201:$U201,TRANSPOSE(CR$3:CR$14))</f>
        <v>160</v>
      </c>
      <c r="CS201" s="3">
        <f t="array" ref="CS201">SUMPRODUCT($J201:$U201,TRANSPOSE(CS$3:CS$14))</f>
        <v>80</v>
      </c>
      <c r="CT201" s="3">
        <f t="array" ref="CT201">SUMPRODUCT($J201:$U201,TRANSPOSE(CT$3:CT$14))</f>
        <v>0</v>
      </c>
      <c r="CU201" s="3">
        <f t="array" ref="CU201">SUMPRODUCT($J201:$U201,TRANSPOSE(CU$3:CU$14))</f>
        <v>0</v>
      </c>
      <c r="CV201" s="3">
        <f t="array" ref="CV201">SUMPRODUCT($J201:$U201,TRANSPOSE(CV$3:CV$14))</f>
        <v>0</v>
      </c>
      <c r="CW201" s="3">
        <f t="array" ref="CW201">SUMPRODUCT($J201:$U201,TRANSPOSE(CW$3:CW$14))</f>
        <v>0</v>
      </c>
      <c r="CX201" s="3">
        <f t="array" ref="CX201">SUMPRODUCT($J201:$U201,TRANSPOSE(CX$3:CX$14))</f>
        <v>0</v>
      </c>
      <c r="CY201" s="3">
        <f t="array" ref="CY201">SUMPRODUCT($J201:$U201,TRANSPOSE(CY$3:CY$14))</f>
        <v>0</v>
      </c>
      <c r="CZ201" s="3">
        <f t="array" ref="CZ201">SUMPRODUCT($J201:$U201,TRANSPOSE(CZ$3:CZ$14))</f>
        <v>0</v>
      </c>
      <c r="DA201" s="3">
        <f t="array" ref="DA201">SUMPRODUCT($J201:$U201,TRANSPOSE(DA$3:DA$14))</f>
        <v>0</v>
      </c>
      <c r="DB201" s="3">
        <f t="array" ref="DB201">SUMPRODUCT($J201:$U201,TRANSPOSE(DB$3:DB$14))</f>
        <v>0</v>
      </c>
      <c r="DC201" s="3">
        <f t="array" ref="DC201">SUMPRODUCT($J201:$U201,TRANSPOSE(DC$3:DC$14))</f>
        <v>0</v>
      </c>
      <c r="DD201" s="3">
        <f t="array" ref="DD201">SUMPRODUCT($J201:$U201,TRANSPOSE(DD$3:DD$14))</f>
        <v>0</v>
      </c>
      <c r="DE201" s="3">
        <f t="array" ref="DE201">SUMPRODUCT($J201:$U201,TRANSPOSE(DE$3:DE$14))</f>
        <v>0</v>
      </c>
    </row>
    <row r="202" spans="1:109" ht="13.5" thickBot="1" x14ac:dyDescent="0.25">
      <c r="A202" s="3">
        <v>839</v>
      </c>
      <c r="B202" s="9" t="s">
        <v>715</v>
      </c>
      <c r="C202" s="3" t="s">
        <v>16</v>
      </c>
      <c r="D202" s="3" t="s">
        <v>716</v>
      </c>
      <c r="E202" s="3" t="s">
        <v>717</v>
      </c>
      <c r="F202" s="3" t="s">
        <v>718</v>
      </c>
      <c r="G202" s="3" t="s">
        <v>14</v>
      </c>
      <c r="H202" s="3">
        <v>2</v>
      </c>
      <c r="I202" s="3">
        <v>50</v>
      </c>
      <c r="J202" s="3">
        <v>0</v>
      </c>
      <c r="K202" s="3">
        <v>21</v>
      </c>
      <c r="L202" s="3">
        <v>0</v>
      </c>
      <c r="M202" s="3">
        <v>0</v>
      </c>
      <c r="N202" s="3">
        <v>18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f t="shared" si="45"/>
        <v>39</v>
      </c>
      <c r="W202" s="3">
        <f t="shared" si="44"/>
        <v>5070</v>
      </c>
      <c r="X202" s="8" t="s">
        <v>650</v>
      </c>
      <c r="Y202" s="3">
        <v>0.19</v>
      </c>
      <c r="Z202" s="3" t="s">
        <v>594</v>
      </c>
      <c r="AA202" s="3" t="s">
        <v>128</v>
      </c>
      <c r="AB202" s="3" t="s">
        <v>129</v>
      </c>
      <c r="AC202" s="23" t="s">
        <v>130</v>
      </c>
      <c r="BJ202" s="3">
        <f>SUM($AE202,$AF202:AH202)-SUM($CH202:CK202)</f>
        <v>0</v>
      </c>
      <c r="BK202" s="3">
        <f>SUM($AE202,$AF202:AI202)-SUM($CH202:CL202)</f>
        <v>-390</v>
      </c>
      <c r="BL202" s="3">
        <f>SUM($AE202,$AF202:AJ202)-SUM($CH202:CM202)</f>
        <v>-975</v>
      </c>
      <c r="BM202" s="3">
        <f>SUM($AE202,$AF202:AK202)-SUM($CH202:CN202)</f>
        <v>-1560</v>
      </c>
      <c r="BN202" s="3">
        <f>SUM($AE202,$AF202:AL202)-SUM($CH202:CO202)</f>
        <v>-2340</v>
      </c>
      <c r="BO202" s="3">
        <f>SUM($AE202,$AF202:AM202)-SUM($CH202:CP202)</f>
        <v>-3120</v>
      </c>
      <c r="BP202" s="3">
        <f>SUM($AE202,$AF202:AN202)-SUM($CH202:CQ202)</f>
        <v>-3900</v>
      </c>
      <c r="BQ202" s="3">
        <f>SUM($AE202,$AF202:AO202)-SUM($CH202:CR202)</f>
        <v>-4680</v>
      </c>
      <c r="BR202" s="3">
        <f>SUM($AE202,$AF202:AP202)-SUM($CH202:CS202)</f>
        <v>-5070</v>
      </c>
      <c r="BS202" s="3">
        <f>SUM($AE202,$AF202:AQ202)-SUM($CH202:CT202)</f>
        <v>-5070</v>
      </c>
      <c r="BT202" s="3">
        <f>SUM($AE202,$AF202:AR202)-SUM($CH202:CU202)</f>
        <v>-5070</v>
      </c>
      <c r="BU202" s="3">
        <f>SUM($AE202,$AF202:AS202)-SUM($CH202:CV202)</f>
        <v>-5070</v>
      </c>
      <c r="BV202" s="3">
        <f>SUM($AE202,$AF202:AT202)-SUM($CH202:CW202)</f>
        <v>-5070</v>
      </c>
      <c r="BW202" s="3">
        <f>SUM($AE202,$AF202:AU202)-SUM($CH202:CX202)</f>
        <v>-5070</v>
      </c>
      <c r="BX202" s="3">
        <f>SUM($AE202,$AF202:AV202)-SUM($CH202:CY202)</f>
        <v>-5070</v>
      </c>
      <c r="BY202" s="3">
        <f>SUM($AE202,$AF202:AW202)-SUM($CH202:CZ202)</f>
        <v>-5070</v>
      </c>
      <c r="BZ202" s="3">
        <f>SUM($AE202,$AF202:AX202)-SUM($CH202:DA202)</f>
        <v>-5070</v>
      </c>
      <c r="CA202" s="3">
        <f>SUM($AE202,$AF202:AY202)-SUM($CH202:DB202)</f>
        <v>-5070</v>
      </c>
      <c r="CB202" s="3">
        <f>SUM($AE202,$AF202:AZ202)-SUM($CH202:DC202)</f>
        <v>-5070</v>
      </c>
      <c r="CC202" s="3">
        <f>SUM($AE202,$AF202:BA202)-SUM($CH202:DD202)</f>
        <v>-5070</v>
      </c>
      <c r="CI202" s="3">
        <f t="array" ref="CI202">SUMPRODUCT($J202:$U202,TRANSPOSE(CI$3:CI$14))</f>
        <v>0</v>
      </c>
      <c r="CJ202" s="3">
        <f t="array" ref="CJ202">SUMPRODUCT($J202:$U202,TRANSPOSE(CJ$3:CJ$14))</f>
        <v>0</v>
      </c>
      <c r="CK202" s="3">
        <f t="array" ref="CK202">SUMPRODUCT($J202:$U202,TRANSPOSE(CK$3:CK$14))</f>
        <v>0</v>
      </c>
      <c r="CL202" s="3">
        <f t="array" ref="CL202">SUMPRODUCT($J202:$U202,TRANSPOSE(CL$3:CL$14))</f>
        <v>390</v>
      </c>
      <c r="CM202" s="3">
        <f t="array" ref="CM202">SUMPRODUCT($J202:$U202,TRANSPOSE(CM$3:CM$14))</f>
        <v>585</v>
      </c>
      <c r="CN202" s="3">
        <f t="array" ref="CN202">SUMPRODUCT($J202:$U202,TRANSPOSE(CN$3:CN$14))</f>
        <v>585</v>
      </c>
      <c r="CO202" s="3">
        <f t="array" ref="CO202">SUMPRODUCT($J202:$U202,TRANSPOSE(CO$3:CO$14))</f>
        <v>780</v>
      </c>
      <c r="CP202" s="3">
        <f t="array" ref="CP202">SUMPRODUCT($J202:$U202,TRANSPOSE(CP$3:CP$14))</f>
        <v>780</v>
      </c>
      <c r="CQ202" s="3">
        <f t="array" ref="CQ202">SUMPRODUCT($J202:$U202,TRANSPOSE(CQ$3:CQ$14))</f>
        <v>780</v>
      </c>
      <c r="CR202" s="3">
        <f t="array" ref="CR202">SUMPRODUCT($J202:$U202,TRANSPOSE(CR$3:CR$14))</f>
        <v>780</v>
      </c>
      <c r="CS202" s="3">
        <f t="array" ref="CS202">SUMPRODUCT($J202:$U202,TRANSPOSE(CS$3:CS$14))</f>
        <v>390</v>
      </c>
      <c r="CT202" s="3">
        <f t="array" ref="CT202">SUMPRODUCT($J202:$U202,TRANSPOSE(CT$3:CT$14))</f>
        <v>0</v>
      </c>
      <c r="CU202" s="3">
        <f t="array" ref="CU202">SUMPRODUCT($J202:$U202,TRANSPOSE(CU$3:CU$14))</f>
        <v>0</v>
      </c>
      <c r="CV202" s="3">
        <f t="array" ref="CV202">SUMPRODUCT($J202:$U202,TRANSPOSE(CV$3:CV$14))</f>
        <v>0</v>
      </c>
      <c r="CW202" s="3">
        <f t="array" ref="CW202">SUMPRODUCT($J202:$U202,TRANSPOSE(CW$3:CW$14))</f>
        <v>0</v>
      </c>
      <c r="CX202" s="3">
        <f t="array" ref="CX202">SUMPRODUCT($J202:$U202,TRANSPOSE(CX$3:CX$14))</f>
        <v>0</v>
      </c>
      <c r="CY202" s="3">
        <f t="array" ref="CY202">SUMPRODUCT($J202:$U202,TRANSPOSE(CY$3:CY$14))</f>
        <v>0</v>
      </c>
      <c r="CZ202" s="3">
        <f t="array" ref="CZ202">SUMPRODUCT($J202:$U202,TRANSPOSE(CZ$3:CZ$14))</f>
        <v>0</v>
      </c>
      <c r="DA202" s="3">
        <f t="array" ref="DA202">SUMPRODUCT($J202:$U202,TRANSPOSE(DA$3:DA$14))</f>
        <v>0</v>
      </c>
      <c r="DB202" s="3">
        <f t="array" ref="DB202">SUMPRODUCT($J202:$U202,TRANSPOSE(DB$3:DB$14))</f>
        <v>0</v>
      </c>
      <c r="DC202" s="3">
        <f t="array" ref="DC202">SUMPRODUCT($J202:$U202,TRANSPOSE(DC$3:DC$14))</f>
        <v>0</v>
      </c>
      <c r="DD202" s="3">
        <f t="array" ref="DD202">SUMPRODUCT($J202:$U202,TRANSPOSE(DD$3:DD$14))</f>
        <v>0</v>
      </c>
      <c r="DE202" s="3">
        <f t="array" ref="DE202">SUMPRODUCT($J202:$U202,TRANSPOSE(DE$3:DE$14))</f>
        <v>0</v>
      </c>
    </row>
    <row r="203" spans="1:109" ht="13.5" thickBot="1" x14ac:dyDescent="0.25">
      <c r="A203" s="3">
        <v>848</v>
      </c>
      <c r="B203" s="9" t="s">
        <v>719</v>
      </c>
      <c r="C203" s="3" t="s">
        <v>16</v>
      </c>
      <c r="D203" s="3" t="s">
        <v>720</v>
      </c>
      <c r="E203" s="3" t="s">
        <v>721</v>
      </c>
      <c r="F203" s="3" t="s">
        <v>722</v>
      </c>
      <c r="G203" s="3" t="s">
        <v>14</v>
      </c>
      <c r="H203" s="3">
        <v>2</v>
      </c>
      <c r="I203" s="3">
        <v>1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f t="shared" si="45"/>
        <v>1</v>
      </c>
      <c r="W203" s="3">
        <f t="shared" si="44"/>
        <v>130</v>
      </c>
      <c r="X203" s="6" t="s">
        <v>589</v>
      </c>
      <c r="Y203" s="3">
        <v>117.6</v>
      </c>
      <c r="Z203" s="3" t="s">
        <v>723</v>
      </c>
      <c r="AA203" s="3" t="s">
        <v>724</v>
      </c>
      <c r="AB203" s="3" t="s">
        <v>725</v>
      </c>
      <c r="AC203" s="3" t="s">
        <v>726</v>
      </c>
      <c r="BJ203" s="3">
        <f>SUM($AE203,$AF203:AH203)-SUM($CH203:CK203)</f>
        <v>0</v>
      </c>
      <c r="BK203" s="3">
        <f>SUM($AE203,$AF203:AI203)-SUM($CH203:CL203)</f>
        <v>0</v>
      </c>
      <c r="BL203" s="3">
        <f>SUM($AE203,$AF203:AJ203)-SUM($CH203:CM203)</f>
        <v>-10</v>
      </c>
      <c r="BM203" s="3">
        <f>SUM($AE203,$AF203:AK203)-SUM($CH203:CN203)</f>
        <v>-25</v>
      </c>
      <c r="BN203" s="3">
        <f>SUM($AE203,$AF203:AL203)-SUM($CH203:CO203)</f>
        <v>-40</v>
      </c>
      <c r="BO203" s="3">
        <f>SUM($AE203,$AF203:AM203)-SUM($CH203:CP203)</f>
        <v>-60</v>
      </c>
      <c r="BP203" s="3">
        <f>SUM($AE203,$AF203:AN203)-SUM($CH203:CQ203)</f>
        <v>-80</v>
      </c>
      <c r="BQ203" s="3">
        <f>SUM($AE203,$AF203:AO203)-SUM($CH203:CR203)</f>
        <v>-100</v>
      </c>
      <c r="BR203" s="3">
        <f>SUM($AE203,$AF203:AP203)-SUM($CH203:CS203)</f>
        <v>-120</v>
      </c>
      <c r="BS203" s="3">
        <f>SUM($AE203,$AF203:AQ203)-SUM($CH203:CT203)</f>
        <v>-130</v>
      </c>
      <c r="BT203" s="3">
        <f>SUM($AE203,$AF203:AR203)-SUM($CH203:CU203)</f>
        <v>-130</v>
      </c>
      <c r="BU203" s="3">
        <f>SUM($AE203,$AF203:AS203)-SUM($CH203:CV203)</f>
        <v>-130</v>
      </c>
      <c r="BV203" s="3">
        <f>SUM($AE203,$AF203:AT203)-SUM($CH203:CW203)</f>
        <v>-130</v>
      </c>
      <c r="BW203" s="3">
        <f>SUM($AE203,$AF203:AU203)-SUM($CH203:CX203)</f>
        <v>-130</v>
      </c>
      <c r="BX203" s="3">
        <f>SUM($AE203,$AF203:AV203)-SUM($CH203:CY203)</f>
        <v>-130</v>
      </c>
      <c r="BY203" s="3">
        <f>SUM($AE203,$AF203:AW203)-SUM($CH203:CZ203)</f>
        <v>-130</v>
      </c>
      <c r="BZ203" s="3">
        <f>SUM($AE203,$AF203:AX203)-SUM($CH203:DA203)</f>
        <v>-130</v>
      </c>
      <c r="CA203" s="3">
        <f>SUM($AE203,$AF203:AY203)-SUM($CH203:DB203)</f>
        <v>-130</v>
      </c>
      <c r="CB203" s="3">
        <f>SUM($AE203,$AF203:AZ203)-SUM($CH203:DC203)</f>
        <v>-130</v>
      </c>
      <c r="CC203" s="3">
        <f>SUM($AE203,$AF203:BA203)-SUM($CH203:DD203)</f>
        <v>-130</v>
      </c>
      <c r="CI203" s="3">
        <f t="array" ref="CI203">SUMPRODUCT($J203:$U203,TRANSPOSE(CI$3:CI$14))</f>
        <v>0</v>
      </c>
      <c r="CJ203" s="3">
        <f t="array" ref="CJ203">SUMPRODUCT($J203:$U203,TRANSPOSE(CJ$3:CJ$14))</f>
        <v>0</v>
      </c>
      <c r="CK203" s="3">
        <f t="array" ref="CK203">SUMPRODUCT($J203:$U203,TRANSPOSE(CK$3:CK$14))</f>
        <v>0</v>
      </c>
      <c r="CL203" s="3">
        <f t="array" ref="CL203">SUMPRODUCT($J203:$U203,TRANSPOSE(CL$3:CL$14))</f>
        <v>0</v>
      </c>
      <c r="CM203" s="3">
        <f t="array" ref="CM203">SUMPRODUCT($J203:$U203,TRANSPOSE(CM$3:CM$14))</f>
        <v>10</v>
      </c>
      <c r="CN203" s="3">
        <f t="array" ref="CN203">SUMPRODUCT($J203:$U203,TRANSPOSE(CN$3:CN$14))</f>
        <v>15</v>
      </c>
      <c r="CO203" s="3">
        <f t="array" ref="CO203">SUMPRODUCT($J203:$U203,TRANSPOSE(CO$3:CO$14))</f>
        <v>15</v>
      </c>
      <c r="CP203" s="3">
        <f t="array" ref="CP203">SUMPRODUCT($J203:$U203,TRANSPOSE(CP$3:CP$14))</f>
        <v>20</v>
      </c>
      <c r="CQ203" s="3">
        <f t="array" ref="CQ203">SUMPRODUCT($J203:$U203,TRANSPOSE(CQ$3:CQ$14))</f>
        <v>20</v>
      </c>
      <c r="CR203" s="3">
        <f t="array" ref="CR203">SUMPRODUCT($J203:$U203,TRANSPOSE(CR$3:CR$14))</f>
        <v>20</v>
      </c>
      <c r="CS203" s="3">
        <f t="array" ref="CS203">SUMPRODUCT($J203:$U203,TRANSPOSE(CS$3:CS$14))</f>
        <v>20</v>
      </c>
      <c r="CT203" s="3">
        <f t="array" ref="CT203">SUMPRODUCT($J203:$U203,TRANSPOSE(CT$3:CT$14))</f>
        <v>10</v>
      </c>
      <c r="CU203" s="3">
        <f t="array" ref="CU203">SUMPRODUCT($J203:$U203,TRANSPOSE(CU$3:CU$14))</f>
        <v>0</v>
      </c>
      <c r="CV203" s="3">
        <f t="array" ref="CV203">SUMPRODUCT($J203:$U203,TRANSPOSE(CV$3:CV$14))</f>
        <v>0</v>
      </c>
      <c r="CW203" s="3">
        <f t="array" ref="CW203">SUMPRODUCT($J203:$U203,TRANSPOSE(CW$3:CW$14))</f>
        <v>0</v>
      </c>
      <c r="CX203" s="3">
        <f t="array" ref="CX203">SUMPRODUCT($J203:$U203,TRANSPOSE(CX$3:CX$14))</f>
        <v>0</v>
      </c>
      <c r="CY203" s="3">
        <f t="array" ref="CY203">SUMPRODUCT($J203:$U203,TRANSPOSE(CY$3:CY$14))</f>
        <v>0</v>
      </c>
      <c r="CZ203" s="3">
        <f t="array" ref="CZ203">SUMPRODUCT($J203:$U203,TRANSPOSE(CZ$3:CZ$14))</f>
        <v>0</v>
      </c>
      <c r="DA203" s="3">
        <f t="array" ref="DA203">SUMPRODUCT($J203:$U203,TRANSPOSE(DA$3:DA$14))</f>
        <v>0</v>
      </c>
      <c r="DB203" s="3">
        <f t="array" ref="DB203">SUMPRODUCT($J203:$U203,TRANSPOSE(DB$3:DB$14))</f>
        <v>0</v>
      </c>
      <c r="DC203" s="3">
        <f t="array" ref="DC203">SUMPRODUCT($J203:$U203,TRANSPOSE(DC$3:DC$14))</f>
        <v>0</v>
      </c>
      <c r="DD203" s="3">
        <f t="array" ref="DD203">SUMPRODUCT($J203:$U203,TRANSPOSE(DD$3:DD$14))</f>
        <v>0</v>
      </c>
      <c r="DE203" s="3">
        <f t="array" ref="DE203">SUMPRODUCT($J203:$U203,TRANSPOSE(DE$3:DE$14))</f>
        <v>0</v>
      </c>
    </row>
    <row r="204" spans="1:109" ht="13.5" thickBot="1" x14ac:dyDescent="0.25">
      <c r="A204" s="3">
        <v>854</v>
      </c>
      <c r="B204" s="9" t="s">
        <v>727</v>
      </c>
      <c r="C204" s="3" t="s">
        <v>16</v>
      </c>
      <c r="D204" s="3">
        <v>405886459</v>
      </c>
      <c r="F204" s="3" t="s">
        <v>728</v>
      </c>
      <c r="G204" s="3" t="s">
        <v>14</v>
      </c>
      <c r="H204" s="3">
        <v>1</v>
      </c>
      <c r="I204" s="3">
        <v>1</v>
      </c>
      <c r="J204" s="3">
        <v>1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f t="shared" si="45"/>
        <v>1</v>
      </c>
      <c r="W204" s="3">
        <f t="shared" si="44"/>
        <v>130</v>
      </c>
      <c r="X204" s="6" t="s">
        <v>729</v>
      </c>
      <c r="Y204" s="3">
        <v>214.04</v>
      </c>
      <c r="Z204" s="3" t="s">
        <v>730</v>
      </c>
      <c r="AA204" s="3" t="s">
        <v>731</v>
      </c>
      <c r="AB204" s="3" t="s">
        <v>35</v>
      </c>
      <c r="AC204" s="3" t="s">
        <v>36</v>
      </c>
      <c r="BJ204" s="3">
        <f>SUM($AE204,$AF204:AH204)-SUM($CH204:CK204)</f>
        <v>0</v>
      </c>
      <c r="BK204" s="3">
        <f>SUM($AE204,$AF204:AI204)-SUM($CH204:CL204)</f>
        <v>0</v>
      </c>
      <c r="BL204" s="3">
        <f>SUM($AE204,$AF204:AJ204)-SUM($CH204:CM204)</f>
        <v>-10</v>
      </c>
      <c r="BM204" s="3">
        <f>SUM($AE204,$AF204:AK204)-SUM($CH204:CN204)</f>
        <v>-25</v>
      </c>
      <c r="BN204" s="3">
        <f>SUM($AE204,$AF204:AL204)-SUM($CH204:CO204)</f>
        <v>-40</v>
      </c>
      <c r="BO204" s="3">
        <f>SUM($AE204,$AF204:AM204)-SUM($CH204:CP204)</f>
        <v>-60</v>
      </c>
      <c r="BP204" s="3">
        <f>SUM($AE204,$AF204:AN204)-SUM($CH204:CQ204)</f>
        <v>-80</v>
      </c>
      <c r="BQ204" s="3">
        <f>SUM($AE204,$AF204:AO204)-SUM($CH204:CR204)</f>
        <v>-100</v>
      </c>
      <c r="BR204" s="3">
        <f>SUM($AE204,$AF204:AP204)-SUM($CH204:CS204)</f>
        <v>-120</v>
      </c>
      <c r="BS204" s="3">
        <f>SUM($AE204,$AF204:AQ204)-SUM($CH204:CT204)</f>
        <v>-130</v>
      </c>
      <c r="BT204" s="3">
        <f>SUM($AE204,$AF204:AR204)-SUM($CH204:CU204)</f>
        <v>-130</v>
      </c>
      <c r="BU204" s="3">
        <f>SUM($AE204,$AF204:AS204)-SUM($CH204:CV204)</f>
        <v>-130</v>
      </c>
      <c r="BV204" s="3">
        <f>SUM($AE204,$AF204:AT204)-SUM($CH204:CW204)</f>
        <v>-130</v>
      </c>
      <c r="BW204" s="3">
        <f>SUM($AE204,$AF204:AU204)-SUM($CH204:CX204)</f>
        <v>-130</v>
      </c>
      <c r="BX204" s="3">
        <f>SUM($AE204,$AF204:AV204)-SUM($CH204:CY204)</f>
        <v>-130</v>
      </c>
      <c r="BY204" s="3">
        <f>SUM($AE204,$AF204:AW204)-SUM($CH204:CZ204)</f>
        <v>-130</v>
      </c>
      <c r="BZ204" s="3">
        <f>SUM($AE204,$AF204:AX204)-SUM($CH204:DA204)</f>
        <v>-130</v>
      </c>
      <c r="CA204" s="3">
        <f>SUM($AE204,$AF204:AY204)-SUM($CH204:DB204)</f>
        <v>-130</v>
      </c>
      <c r="CB204" s="3">
        <f>SUM($AE204,$AF204:AZ204)-SUM($CH204:DC204)</f>
        <v>-130</v>
      </c>
      <c r="CC204" s="3">
        <f>SUM($AE204,$AF204:BA204)-SUM($CH204:DD204)</f>
        <v>-130</v>
      </c>
      <c r="CI204" s="3">
        <f t="array" ref="CI204">SUMPRODUCT($J204:$U204,TRANSPOSE(CI$3:CI$14))</f>
        <v>0</v>
      </c>
      <c r="CJ204" s="3">
        <f t="array" ref="CJ204">SUMPRODUCT($J204:$U204,TRANSPOSE(CJ$3:CJ$14))</f>
        <v>0</v>
      </c>
      <c r="CK204" s="3">
        <f t="array" ref="CK204">SUMPRODUCT($J204:$U204,TRANSPOSE(CK$3:CK$14))</f>
        <v>0</v>
      </c>
      <c r="CL204" s="3">
        <f t="array" ref="CL204">SUMPRODUCT($J204:$U204,TRANSPOSE(CL$3:CL$14))</f>
        <v>0</v>
      </c>
      <c r="CM204" s="3">
        <f t="array" ref="CM204">SUMPRODUCT($J204:$U204,TRANSPOSE(CM$3:CM$14))</f>
        <v>10</v>
      </c>
      <c r="CN204" s="3">
        <f t="array" ref="CN204">SUMPRODUCT($J204:$U204,TRANSPOSE(CN$3:CN$14))</f>
        <v>15</v>
      </c>
      <c r="CO204" s="3">
        <f t="array" ref="CO204">SUMPRODUCT($J204:$U204,TRANSPOSE(CO$3:CO$14))</f>
        <v>15</v>
      </c>
      <c r="CP204" s="3">
        <f t="array" ref="CP204">SUMPRODUCT($J204:$U204,TRANSPOSE(CP$3:CP$14))</f>
        <v>20</v>
      </c>
      <c r="CQ204" s="3">
        <f t="array" ref="CQ204">SUMPRODUCT($J204:$U204,TRANSPOSE(CQ$3:CQ$14))</f>
        <v>20</v>
      </c>
      <c r="CR204" s="3">
        <f t="array" ref="CR204">SUMPRODUCT($J204:$U204,TRANSPOSE(CR$3:CR$14))</f>
        <v>20</v>
      </c>
      <c r="CS204" s="3">
        <f t="array" ref="CS204">SUMPRODUCT($J204:$U204,TRANSPOSE(CS$3:CS$14))</f>
        <v>20</v>
      </c>
      <c r="CT204" s="3">
        <f t="array" ref="CT204">SUMPRODUCT($J204:$U204,TRANSPOSE(CT$3:CT$14))</f>
        <v>10</v>
      </c>
      <c r="CU204" s="3">
        <f t="array" ref="CU204">SUMPRODUCT($J204:$U204,TRANSPOSE(CU$3:CU$14))</f>
        <v>0</v>
      </c>
      <c r="CV204" s="3">
        <f t="array" ref="CV204">SUMPRODUCT($J204:$U204,TRANSPOSE(CV$3:CV$14))</f>
        <v>0</v>
      </c>
      <c r="CW204" s="3">
        <f t="array" ref="CW204">SUMPRODUCT($J204:$U204,TRANSPOSE(CW$3:CW$14))</f>
        <v>0</v>
      </c>
      <c r="CX204" s="3">
        <f t="array" ref="CX204">SUMPRODUCT($J204:$U204,TRANSPOSE(CX$3:CX$14))</f>
        <v>0</v>
      </c>
      <c r="CY204" s="3">
        <f t="array" ref="CY204">SUMPRODUCT($J204:$U204,TRANSPOSE(CY$3:CY$14))</f>
        <v>0</v>
      </c>
      <c r="CZ204" s="3">
        <f t="array" ref="CZ204">SUMPRODUCT($J204:$U204,TRANSPOSE(CZ$3:CZ$14))</f>
        <v>0</v>
      </c>
      <c r="DA204" s="3">
        <f t="array" ref="DA204">SUMPRODUCT($J204:$U204,TRANSPOSE(DA$3:DA$14))</f>
        <v>0</v>
      </c>
      <c r="DB204" s="3">
        <f t="array" ref="DB204">SUMPRODUCT($J204:$U204,TRANSPOSE(DB$3:DB$14))</f>
        <v>0</v>
      </c>
      <c r="DC204" s="3">
        <f t="array" ref="DC204">SUMPRODUCT($J204:$U204,TRANSPOSE(DC$3:DC$14))</f>
        <v>0</v>
      </c>
      <c r="DD204" s="3">
        <f t="array" ref="DD204">SUMPRODUCT($J204:$U204,TRANSPOSE(DD$3:DD$14))</f>
        <v>0</v>
      </c>
      <c r="DE204" s="3">
        <f t="array" ref="DE204">SUMPRODUCT($J204:$U204,TRANSPOSE(DE$3:DE$14))</f>
        <v>0</v>
      </c>
    </row>
    <row r="205" spans="1:109" ht="13.5" thickBot="1" x14ac:dyDescent="0.25">
      <c r="A205" s="3">
        <v>862</v>
      </c>
      <c r="B205" s="9" t="s">
        <v>732</v>
      </c>
      <c r="C205" s="3" t="s">
        <v>632</v>
      </c>
      <c r="D205" s="3">
        <v>401625706</v>
      </c>
      <c r="F205" s="3" t="s">
        <v>733</v>
      </c>
      <c r="G205" s="3" t="s">
        <v>14</v>
      </c>
      <c r="H205" s="3">
        <v>1</v>
      </c>
      <c r="I205" s="3">
        <v>1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f t="shared" si="45"/>
        <v>1</v>
      </c>
      <c r="W205" s="3">
        <f t="shared" si="44"/>
        <v>130</v>
      </c>
      <c r="X205" s="8" t="s">
        <v>50</v>
      </c>
      <c r="Z205" s="3" t="s">
        <v>50</v>
      </c>
      <c r="AD205" s="3" t="s">
        <v>50</v>
      </c>
      <c r="BJ205" s="3">
        <f>SUM($AE205,$AF205:AH205)-SUM($CH205:CK205)</f>
        <v>0</v>
      </c>
      <c r="BK205" s="3">
        <f>SUM($AE205,$AF205:AI205)-SUM($CH205:CL205)</f>
        <v>0</v>
      </c>
      <c r="BL205" s="3">
        <f>SUM($AE205,$AF205:AJ205)-SUM($CH205:CM205)</f>
        <v>-10</v>
      </c>
      <c r="BM205" s="3">
        <f>SUM($AE205,$AF205:AK205)-SUM($CH205:CN205)</f>
        <v>-25</v>
      </c>
      <c r="BN205" s="3">
        <f>SUM($AE205,$AF205:AL205)-SUM($CH205:CO205)</f>
        <v>-40</v>
      </c>
      <c r="BO205" s="3">
        <f>SUM($AE205,$AF205:AM205)-SUM($CH205:CP205)</f>
        <v>-60</v>
      </c>
      <c r="BP205" s="3">
        <f>SUM($AE205,$AF205:AN205)-SUM($CH205:CQ205)</f>
        <v>-80</v>
      </c>
      <c r="BQ205" s="3">
        <f>SUM($AE205,$AF205:AO205)-SUM($CH205:CR205)</f>
        <v>-100</v>
      </c>
      <c r="BR205" s="3">
        <f>SUM($AE205,$AF205:AP205)-SUM($CH205:CS205)</f>
        <v>-120</v>
      </c>
      <c r="BS205" s="3">
        <f>SUM($AE205,$AF205:AQ205)-SUM($CH205:CT205)</f>
        <v>-130</v>
      </c>
      <c r="BT205" s="3">
        <f>SUM($AE205,$AF205:AR205)-SUM($CH205:CU205)</f>
        <v>-130</v>
      </c>
      <c r="BU205" s="3">
        <f>SUM($AE205,$AF205:AS205)-SUM($CH205:CV205)</f>
        <v>-130</v>
      </c>
      <c r="BV205" s="3">
        <f>SUM($AE205,$AF205:AT205)-SUM($CH205:CW205)</f>
        <v>-130</v>
      </c>
      <c r="BW205" s="3">
        <f>SUM($AE205,$AF205:AU205)-SUM($CH205:CX205)</f>
        <v>-130</v>
      </c>
      <c r="BX205" s="3">
        <f>SUM($AE205,$AF205:AV205)-SUM($CH205:CY205)</f>
        <v>-130</v>
      </c>
      <c r="BY205" s="3">
        <f>SUM($AE205,$AF205:AW205)-SUM($CH205:CZ205)</f>
        <v>-130</v>
      </c>
      <c r="BZ205" s="3">
        <f>SUM($AE205,$AF205:AX205)-SUM($CH205:DA205)</f>
        <v>-130</v>
      </c>
      <c r="CA205" s="3">
        <f>SUM($AE205,$AF205:AY205)-SUM($CH205:DB205)</f>
        <v>-130</v>
      </c>
      <c r="CB205" s="3">
        <f>SUM($AE205,$AF205:AZ205)-SUM($CH205:DC205)</f>
        <v>-130</v>
      </c>
      <c r="CC205" s="3">
        <f>SUM($AE205,$AF205:BA205)-SUM($CH205:DD205)</f>
        <v>-130</v>
      </c>
      <c r="CI205" s="3">
        <f t="array" ref="CI205">SUMPRODUCT($J205:$U205,TRANSPOSE(CI$3:CI$14))</f>
        <v>0</v>
      </c>
      <c r="CJ205" s="3">
        <f t="array" ref="CJ205">SUMPRODUCT($J205:$U205,TRANSPOSE(CJ$3:CJ$14))</f>
        <v>0</v>
      </c>
      <c r="CK205" s="3">
        <f t="array" ref="CK205">SUMPRODUCT($J205:$U205,TRANSPOSE(CK$3:CK$14))</f>
        <v>0</v>
      </c>
      <c r="CL205" s="3">
        <f t="array" ref="CL205">SUMPRODUCT($J205:$U205,TRANSPOSE(CL$3:CL$14))</f>
        <v>0</v>
      </c>
      <c r="CM205" s="3">
        <f t="array" ref="CM205">SUMPRODUCT($J205:$U205,TRANSPOSE(CM$3:CM$14))</f>
        <v>10</v>
      </c>
      <c r="CN205" s="3">
        <f t="array" ref="CN205">SUMPRODUCT($J205:$U205,TRANSPOSE(CN$3:CN$14))</f>
        <v>15</v>
      </c>
      <c r="CO205" s="3">
        <f t="array" ref="CO205">SUMPRODUCT($J205:$U205,TRANSPOSE(CO$3:CO$14))</f>
        <v>15</v>
      </c>
      <c r="CP205" s="3">
        <f t="array" ref="CP205">SUMPRODUCT($J205:$U205,TRANSPOSE(CP$3:CP$14))</f>
        <v>20</v>
      </c>
      <c r="CQ205" s="3">
        <f t="array" ref="CQ205">SUMPRODUCT($J205:$U205,TRANSPOSE(CQ$3:CQ$14))</f>
        <v>20</v>
      </c>
      <c r="CR205" s="3">
        <f t="array" ref="CR205">SUMPRODUCT($J205:$U205,TRANSPOSE(CR$3:CR$14))</f>
        <v>20</v>
      </c>
      <c r="CS205" s="3">
        <f t="array" ref="CS205">SUMPRODUCT($J205:$U205,TRANSPOSE(CS$3:CS$14))</f>
        <v>20</v>
      </c>
      <c r="CT205" s="3">
        <f t="array" ref="CT205">SUMPRODUCT($J205:$U205,TRANSPOSE(CT$3:CT$14))</f>
        <v>10</v>
      </c>
      <c r="CU205" s="3">
        <f t="array" ref="CU205">SUMPRODUCT($J205:$U205,TRANSPOSE(CU$3:CU$14))</f>
        <v>0</v>
      </c>
      <c r="CV205" s="3">
        <f t="array" ref="CV205">SUMPRODUCT($J205:$U205,TRANSPOSE(CV$3:CV$14))</f>
        <v>0</v>
      </c>
      <c r="CW205" s="3">
        <f t="array" ref="CW205">SUMPRODUCT($J205:$U205,TRANSPOSE(CW$3:CW$14))</f>
        <v>0</v>
      </c>
      <c r="CX205" s="3">
        <f t="array" ref="CX205">SUMPRODUCT($J205:$U205,TRANSPOSE(CX$3:CX$14))</f>
        <v>0</v>
      </c>
      <c r="CY205" s="3">
        <f t="array" ref="CY205">SUMPRODUCT($J205:$U205,TRANSPOSE(CY$3:CY$14))</f>
        <v>0</v>
      </c>
      <c r="CZ205" s="3">
        <f t="array" ref="CZ205">SUMPRODUCT($J205:$U205,TRANSPOSE(CZ$3:CZ$14))</f>
        <v>0</v>
      </c>
      <c r="DA205" s="3">
        <f t="array" ref="DA205">SUMPRODUCT($J205:$U205,TRANSPOSE(DA$3:DA$14))</f>
        <v>0</v>
      </c>
      <c r="DB205" s="3">
        <f t="array" ref="DB205">SUMPRODUCT($J205:$U205,TRANSPOSE(DB$3:DB$14))</f>
        <v>0</v>
      </c>
      <c r="DC205" s="3">
        <f t="array" ref="DC205">SUMPRODUCT($J205:$U205,TRANSPOSE(DC$3:DC$14))</f>
        <v>0</v>
      </c>
      <c r="DD205" s="3">
        <f t="array" ref="DD205">SUMPRODUCT($J205:$U205,TRANSPOSE(DD$3:DD$14))</f>
        <v>0</v>
      </c>
      <c r="DE205" s="3">
        <f t="array" ref="DE205">SUMPRODUCT($J205:$U205,TRANSPOSE(DE$3:DE$14))</f>
        <v>0</v>
      </c>
    </row>
    <row r="207" spans="1:109" ht="18.75" thickBot="1" x14ac:dyDescent="0.25">
      <c r="J207" s="18">
        <f t="shared" ref="J207:U207" ca="1" si="46">SUMPRODUCT($Y$16:$Y$205,SUBTOTAL(9,OFFSET(J16:J205,ROW(J16:J205)-MIN(ROW(J16:J205)),0,1)))</f>
        <v>16810.435600000001</v>
      </c>
      <c r="K207" s="18">
        <f t="shared" ca="1" si="46"/>
        <v>5284.4610999999968</v>
      </c>
      <c r="L207" s="18">
        <f t="shared" ca="1" si="46"/>
        <v>307.91250000000002</v>
      </c>
      <c r="M207" s="18">
        <f t="shared" ca="1" si="46"/>
        <v>11</v>
      </c>
      <c r="N207" s="18">
        <f t="shared" ca="1" si="46"/>
        <v>4967.5326000000014</v>
      </c>
      <c r="O207" s="18">
        <f t="shared" ca="1" si="46"/>
        <v>307.91250000000002</v>
      </c>
      <c r="P207" s="18">
        <f t="shared" ca="1" si="46"/>
        <v>20.128</v>
      </c>
      <c r="Q207" s="18">
        <f t="shared" ca="1" si="46"/>
        <v>210.56128999999999</v>
      </c>
      <c r="R207" s="18">
        <f t="shared" ca="1" si="46"/>
        <v>1354.19</v>
      </c>
      <c r="S207" s="18">
        <f t="shared" ca="1" si="46"/>
        <v>1892.54</v>
      </c>
      <c r="T207" s="18">
        <f t="shared" ca="1" si="46"/>
        <v>493.91200000000009</v>
      </c>
      <c r="U207" s="18">
        <f t="shared" ca="1" si="46"/>
        <v>576.89</v>
      </c>
      <c r="V207" s="18"/>
      <c r="W207" s="18">
        <f ca="1">SUMPRODUCT($Y$16:$Y$205,SUBTOTAL(9,OFFSET(W16:W205,ROW(W16:W205)-MIN(ROW(W16:W205)),0,1)))</f>
        <v>4209702.12818</v>
      </c>
    </row>
    <row r="208" spans="1:109" ht="24" thickBot="1" x14ac:dyDescent="0.25">
      <c r="J208" s="4">
        <f t="shared" ref="J208:U208" si="47">VLOOKUP(J210,$B$16:$F$205,4,)</f>
        <v>0</v>
      </c>
      <c r="K208" s="4">
        <f t="shared" si="47"/>
        <v>0</v>
      </c>
      <c r="L208" s="4">
        <f t="shared" si="47"/>
        <v>0</v>
      </c>
      <c r="M208" s="4">
        <f t="shared" si="47"/>
        <v>0</v>
      </c>
      <c r="N208" s="4">
        <f t="shared" si="47"/>
        <v>0</v>
      </c>
      <c r="O208" s="4">
        <f t="shared" si="47"/>
        <v>0</v>
      </c>
      <c r="P208" s="4">
        <f t="shared" si="47"/>
        <v>0</v>
      </c>
      <c r="Q208" s="4">
        <f t="shared" si="47"/>
        <v>0</v>
      </c>
      <c r="R208" s="4">
        <f t="shared" si="47"/>
        <v>0</v>
      </c>
      <c r="S208" s="4">
        <f t="shared" si="47"/>
        <v>0</v>
      </c>
      <c r="T208" s="4">
        <f t="shared" si="47"/>
        <v>0</v>
      </c>
      <c r="U208" s="4">
        <f t="shared" si="47"/>
        <v>0</v>
      </c>
      <c r="V208" s="5"/>
      <c r="W208" s="10" t="s">
        <v>8</v>
      </c>
    </row>
    <row r="209" spans="10:22" ht="13.5" thickBot="1" x14ac:dyDescent="0.25">
      <c r="J209" s="4">
        <f>VLOOKUP(J210,'[1]הזנת נתונים'!$K$2:$L$238,2,)</f>
        <v>0</v>
      </c>
      <c r="K209" s="4">
        <f>VLOOKUP(K210,'[1]הזנת נתונים'!$K$2:$L$238,2,)</f>
        <v>1</v>
      </c>
      <c r="L209" s="4">
        <f>VLOOKUP(L210,'[1]הזנת נתונים'!$K$2:$L$238,2,)</f>
        <v>2</v>
      </c>
      <c r="M209" s="4">
        <f>VLOOKUP(M210,'[1]הזנת נתונים'!$K$2:$L$238,2,)</f>
        <v>2</v>
      </c>
      <c r="N209" s="4">
        <f>VLOOKUP(N210,'[1]הזנת נתונים'!$K$2:$L$238,2,)</f>
        <v>1</v>
      </c>
      <c r="O209" s="4">
        <f>VLOOKUP(O210,'[1]הזנת נתונים'!$K$2:$L$238,2,)</f>
        <v>2</v>
      </c>
      <c r="P209" s="4">
        <f>VLOOKUP(P210,'[1]הזנת נתונים'!$K$2:$L$238,2,)</f>
        <v>1</v>
      </c>
      <c r="Q209" s="4">
        <f>VLOOKUP(Q210,'[1]הזנת נתונים'!$K$2:$L$238,2,)</f>
        <v>2</v>
      </c>
      <c r="R209" s="4">
        <f>VLOOKUP(R210,'[1]הזנת נתונים'!$K$2:$L$238,2,)</f>
        <v>1</v>
      </c>
      <c r="S209" s="4">
        <f>VLOOKUP(S210,'[1]הזנת נתונים'!$K$2:$L$238,2,)</f>
        <v>1</v>
      </c>
      <c r="T209" s="4">
        <f>VLOOKUP(T210,'[1]הזנת נתונים'!$K$2:$L$238,2,)</f>
        <v>1</v>
      </c>
      <c r="U209" s="4">
        <f>VLOOKUP(U210,'[1]הזנת נתונים'!$K$2:$L$238,2,)</f>
        <v>2</v>
      </c>
      <c r="V209" s="5"/>
    </row>
    <row r="210" spans="10:22" ht="13.5" thickBot="1" x14ac:dyDescent="0.25">
      <c r="J210" s="4" t="s">
        <v>347</v>
      </c>
      <c r="K210" s="4" t="s">
        <v>348</v>
      </c>
      <c r="L210" s="4" t="s">
        <v>349</v>
      </c>
      <c r="M210" s="4" t="s">
        <v>350</v>
      </c>
      <c r="N210" s="4" t="s">
        <v>351</v>
      </c>
      <c r="O210" s="4" t="s">
        <v>349</v>
      </c>
      <c r="P210" s="4" t="s">
        <v>352</v>
      </c>
      <c r="Q210" s="4" t="s">
        <v>353</v>
      </c>
      <c r="R210" s="4" t="s">
        <v>354</v>
      </c>
      <c r="S210" s="4" t="s">
        <v>355</v>
      </c>
      <c r="T210" s="4" t="s">
        <v>356</v>
      </c>
      <c r="U210" s="4" t="s">
        <v>357</v>
      </c>
      <c r="V210" s="5"/>
    </row>
  </sheetData>
  <autoFilter ref="A15:WXK15" xr:uid="{FDA1D678-C7DE-4BCA-9398-2A37E7764CAF}"/>
  <mergeCells count="2">
    <mergeCell ref="AF13:BC14"/>
    <mergeCell ref="BD1:CD2"/>
  </mergeCells>
  <hyperlinks>
    <hyperlink ref="B16" r:id="rId1" display="http://eltweb04.elta.iai/pls/iman_Production/link_to_iman?item_id=6931A105-001" xr:uid="{2FCE8032-B367-4373-8A14-D1B781F9413E}"/>
    <hyperlink ref="B17" r:id="rId2" display="http://eltweb04.elta.iai/pls/iman_Production/link_to_iman?item_id=1022L945-005" xr:uid="{4B759A2B-CFBE-4171-9639-2FCE549744AB}"/>
    <hyperlink ref="B18" r:id="rId3" display="http://eltweb04.elta.iai/pls/iman_Production/link_to_iman?item_id=1022L967-003" xr:uid="{0CB76B07-C5C8-4EA0-B3B5-031F74CD94E9}"/>
    <hyperlink ref="B19" r:id="rId4" display="http://eltweb04.elta.iai/pls/iman_Production/link_to_iman?item_id=1022L987-001" xr:uid="{B469D2CE-29B3-4098-810D-3D318A707370}"/>
    <hyperlink ref="B20" r:id="rId5" display="http://eltweb04.elta.iai/pls/iman_Production/link_to_iman?item_id=1033A299-001" xr:uid="{1F838F58-9BF5-4829-A0D4-F4897B8AD423}"/>
    <hyperlink ref="B21" r:id="rId6" display="http://eltweb04.elta.iai/pls/iman_Production/link_to_iman?item_id=1033A447-001" xr:uid="{E9F28ECE-8B43-4436-87D5-FB011CB6E90F}"/>
    <hyperlink ref="B22" r:id="rId7" display="http://eltweb04.elta.iai/pls/iman_Production/link_to_iman?item_id=1033A448-001" xr:uid="{22FE794D-1D12-48D6-A1F6-DF81D09BB4CF}"/>
    <hyperlink ref="B23" r:id="rId8" display="http://eltweb04.elta.iai/pls/iman_Production/link_to_iman?item_id=1036N114-001" xr:uid="{D57AB0A0-7378-4282-99AC-3DCE48A720E0}"/>
    <hyperlink ref="B24" r:id="rId9" display="http://eltweb04.elta.iai/pls/iman_Production/link_to_iman?item_id=1037M713-001" xr:uid="{FAE47486-62EB-4462-832B-1D3592653EC0}"/>
    <hyperlink ref="B25" r:id="rId10" display="http://eltweb04.elta.iai/pls/iman_Production/link_to_iman?item_id=1037M719-001" xr:uid="{73E6CD0C-D168-4F65-8B4F-42E23D368277}"/>
    <hyperlink ref="B26" r:id="rId11" display="http://eltweb04.elta.iai/pls/iman_Production/link_to_iman?item_id=1037M722-001" xr:uid="{29BD2391-3E2C-44D6-A7A5-6B5ADE6F8F44}"/>
    <hyperlink ref="B27" r:id="rId12" display="http://eltweb04.elta.iai/pls/iman_Production/link_to_iman?item_id=1037M723-001" xr:uid="{380184A5-3608-4FF1-B76D-D22ED30FDA55}"/>
    <hyperlink ref="B28" r:id="rId13" display="http://eltweb04.elta.iai/pls/iman_Production/link_to_iman?item_id=1037M730-001" xr:uid="{43D31302-E17E-4A4E-B1EA-B4A01EFB475F}"/>
    <hyperlink ref="B29" r:id="rId14" display="http://eltweb04.elta.iai/pls/iman_Production/link_to_iman?item_id=1037M732-001" xr:uid="{87528029-8C10-4366-972E-33ABA683FDC5}"/>
    <hyperlink ref="B30" r:id="rId15" display="http://eltweb04.elta.iai/pls/iman_Production/link_to_iman?item_id=1037M818-001" xr:uid="{27EC8D99-B09B-4368-AC80-7B1488206794}"/>
    <hyperlink ref="B31" r:id="rId16" display="http://eltweb04.elta.iai/pls/iman_Production/link_to_iman?item_id=1037M819-001" xr:uid="{49144C7B-09B1-4E8D-80C1-5F2BB7C9DF96}"/>
    <hyperlink ref="B32" r:id="rId17" display="http://eltweb04.elta.iai/pls/iman_Production/link_to_iman?item_id=1037M820-001" xr:uid="{6A5B3636-57CD-48F5-B27C-F79CDB32BA97}"/>
    <hyperlink ref="B33" r:id="rId18" display="http://eltweb04.elta.iai/pls/iman_Production/link_to_iman?item_id=1037M821-001" xr:uid="{E7B98FC1-8ED1-4066-A0D5-7EB96DF72C53}"/>
    <hyperlink ref="B34" r:id="rId19" display="http://eltweb04.elta.iai/pls/iman_Production/link_to_iman?item_id=1037M822-001" xr:uid="{5994CFC0-5E07-4A40-8F26-445DF7C7B186}"/>
    <hyperlink ref="B35" r:id="rId20" display="http://eltweb04.elta.iai/pls/iman_Production/link_to_iman?item_id=1037M823-001" xr:uid="{528A5FE6-0B8A-461A-9120-A57D380D2EB7}"/>
    <hyperlink ref="B36" r:id="rId21" display="http://eltweb04.elta.iai/pls/iman_Production/link_to_iman?item_id=1037M832-001" xr:uid="{505713F2-01F7-4240-8D31-8D0FD4CCCC45}"/>
    <hyperlink ref="B37" r:id="rId22" display="http://eltweb04.elta.iai/pls/iman_Production/link_to_iman?item_id=1037M833-001" xr:uid="{4B60F9F0-2F7C-4AE9-9BB3-A219138A889F}"/>
    <hyperlink ref="B38" r:id="rId23" display="http://eltweb04.elta.iai/pls/iman_Production/link_to_iman?item_id=1037M834-001" xr:uid="{F11FB780-2D72-4D2C-850D-7CED4F13E7B8}"/>
    <hyperlink ref="B39" r:id="rId24" display="http://eltweb04.elta.iai/pls/iman_Production/link_to_iman?item_id=1037M835-001" xr:uid="{593AA11E-EF1B-4BFC-AE48-89F3881B5F52}"/>
    <hyperlink ref="B40" r:id="rId25" display="http://eltweb04.elta.iai/pls/iman_Production/link_to_iman?item_id=1037M836-001" xr:uid="{2DAF477D-30FE-4EAE-8A9F-64AAA7FCE026}"/>
    <hyperlink ref="B41" r:id="rId26" display="http://eltweb04.elta.iai/pls/iman_Production/link_to_iman?item_id=1037M839-001" xr:uid="{80556B84-9156-4092-BF3B-A6FF068B8507}"/>
    <hyperlink ref="B42" r:id="rId27" display="http://eltweb04.elta.iai/pls/iman_Production/link_to_iman?item_id=1037M840-001" xr:uid="{65B4FA32-CF16-4BBA-BE8E-A99C76434688}"/>
    <hyperlink ref="B43" r:id="rId28" display="http://eltweb04.elta.iai/pls/iman_Production/link_to_iman?item_id=1037M844-001" xr:uid="{F3CCED17-8040-4BF6-B967-D9D09B6CF13A}"/>
    <hyperlink ref="B44" r:id="rId29" display="http://eltweb04.elta.iai/pls/iman_Production/link_to_iman?item_id=1037M850-001" xr:uid="{CE68AAA3-5E96-4E2B-8D0E-FA2F9A270F0C}"/>
    <hyperlink ref="B45" r:id="rId30" display="http://eltweb04.elta.iai/pls/iman_Production/link_to_iman?item_id=1037M859-001" xr:uid="{B2B4228C-FE3D-4054-BB32-F1A7616509A3}"/>
    <hyperlink ref="B46" r:id="rId31" display="http://eltweb04.elta.iai/pls/iman_Production/link_to_iman?item_id=1039F502-001" xr:uid="{28A4E989-A5D6-4FEC-8EBC-A0764854DF97}"/>
    <hyperlink ref="B47" r:id="rId32" display="http://eltweb04.elta.iai/pls/iman_Production/link_to_iman?item_id=1039F570-001" xr:uid="{F2BE6F2E-60C3-4572-BE18-8BFB8CAD0C1B}"/>
    <hyperlink ref="B48" r:id="rId33" display="http://eltweb04.elta.iai/pls/iman_Production/link_to_iman?item_id=1039F842-001" xr:uid="{CE480BE1-5699-45CC-8CC1-CA1D8F423EE0}"/>
    <hyperlink ref="B49" r:id="rId34" display="http://eltweb04.elta.iai/pls/iman_Production/link_to_iman?item_id=1039F843-001" xr:uid="{EACDFA10-A6FE-40ED-B0E6-309C50CD6780}"/>
    <hyperlink ref="B50" r:id="rId35" display="http://eltweb04.elta.iai/pls/iman_Production/link_to_iman?item_id=1039F846-001" xr:uid="{6BD02003-3FC9-4A36-9FD9-BE70AE049D91}"/>
    <hyperlink ref="B51" r:id="rId36" display="http://eltweb04.elta.iai/pls/iman_Production/link_to_iman?item_id=1039F847-001" xr:uid="{9848B9BD-F3EB-422F-84E1-DF4EEF859F34}"/>
    <hyperlink ref="B52" r:id="rId37" display="http://eltweb04.elta.iai/pls/iman_Production/link_to_iman?item_id=1039F852-001" xr:uid="{9BF861AA-504D-4E81-82FD-98FE84A5C4B4}"/>
    <hyperlink ref="B53" r:id="rId38" display="http://eltweb04.elta.iai/pls/iman_Production/link_to_iman?item_id=1054875-1" xr:uid="{6212B99D-434D-4D61-B400-98C37324A825}"/>
    <hyperlink ref="B54" r:id="rId39" display="http://eltweb04.elta.iai/pls/iman_Production/link_to_iman?item_id=1094F182-001" xr:uid="{49A624E9-F8FA-4D69-BD3B-A699BB1FE793}"/>
    <hyperlink ref="B55" r:id="rId40" display="http://eltweb04.elta.iai/pls/iman_Production/link_to_iman?item_id=1094F184-001" xr:uid="{10A8DC40-3B31-46E6-8492-6F81B2730B70}"/>
    <hyperlink ref="B56" r:id="rId41" display="http://eltweb04.elta.iai/pls/iman_Production/link_to_iman?item_id=1094F187-002" xr:uid="{1AD10699-3112-4990-9E92-826FA4B9D30C}"/>
    <hyperlink ref="B57" r:id="rId42" display="http://eltweb04.elta.iai/pls/iman_Production/link_to_iman?item_id=1094F188-001" xr:uid="{2B2B830E-6F03-4567-BC94-9CAE69A8BE51}"/>
    <hyperlink ref="B58" r:id="rId43" display="http://eltweb04.elta.iai/pls/iman_Production/link_to_iman?item_id=1094F198-001" xr:uid="{92C688F1-DFD2-40EE-976C-C395050E4A6A}"/>
    <hyperlink ref="B59" r:id="rId44" display="http://eltweb04.elta.iai/pls/iman_Production/link_to_iman?item_id=1094F199-001" xr:uid="{83E612ED-F46F-4C81-A78D-147FA68AB496}"/>
    <hyperlink ref="B60" r:id="rId45" display="http://eltweb04.elta.iai/pls/iman_Production/link_to_iman?item_id=1094F207-001" xr:uid="{7AE89B31-7DAA-41ED-AFCF-127F61E534A9}"/>
    <hyperlink ref="B61" r:id="rId46" display="http://eltweb04.elta.iai/pls/iman_Production/link_to_iman?item_id=1094F208-001" xr:uid="{A86E5D65-49CD-4957-8FC2-D8D767D55F5B}"/>
    <hyperlink ref="B62" r:id="rId47" display="http://eltweb04.elta.iai/pls/iman_Production/link_to_iman?item_id=1094F211-002" xr:uid="{B90E7C21-DB7E-44CF-ADBA-2C624ED724A7}"/>
    <hyperlink ref="B63" r:id="rId48" display="http://eltweb04.elta.iai/pls/iman_Production/link_to_iman?item_id=1094F212-002" xr:uid="{5864525F-E3B5-4E61-9D32-EF6DE06F6F29}"/>
    <hyperlink ref="B64" r:id="rId49" display="http://eltweb04.elta.iai/pls/iman_Production/link_to_iman?item_id=1094F214-001" xr:uid="{650B56AB-1B47-468C-B07B-1FE8959BB303}"/>
    <hyperlink ref="B65" r:id="rId50" display="http://eltweb04.elta.iai/pls/iman_Production/link_to_iman?item_id=1094F807-001" xr:uid="{6877387D-FE90-4145-97BA-ED9D07E985A3}"/>
    <hyperlink ref="B66" r:id="rId51" display="http://eltweb04.elta.iai/pls/iman_Production/link_to_iman?item_id=1094F823-001" xr:uid="{0826A315-7503-4324-9901-263D79D502C5}"/>
    <hyperlink ref="B67" r:id="rId52" display="http://eltweb04.elta.iai/pls/iman_Production/link_to_iman?item_id=1094F824-001" xr:uid="{D7222061-DE89-4C1D-910F-F93E8B07BF9B}"/>
    <hyperlink ref="B68" r:id="rId53" display="http://eltweb04.elta.iai/pls/iman_Production/link_to_iman?item_id=1094F825-001" xr:uid="{2CB26A15-7AA5-4351-98ED-DD969AF39DB2}"/>
    <hyperlink ref="B69" r:id="rId54" display="http://eltweb04.elta.iai/pls/iman_Production/link_to_iman?item_id=1094F826-001" xr:uid="{5E6D18C7-F88E-432F-BEAE-ED44F479BEBF}"/>
    <hyperlink ref="B70" r:id="rId55" display="http://eltweb04.elta.iai/pls/iman_Production/link_to_iman?item_id=1094F827-001" xr:uid="{2D8B0A17-6F2D-4BD5-9F81-0BF81E41560F}"/>
    <hyperlink ref="B71" r:id="rId56" display="http://eltweb04.elta.iai/pls/iman_Production/link_to_iman?item_id=1094F847-001" xr:uid="{0196737B-5C8C-48F0-9EBB-3E75A901E1B5}"/>
    <hyperlink ref="B72" r:id="rId57" display="http://eltweb04.elta.iai/pls/iman_Production/link_to_iman?item_id=1094F868-001" xr:uid="{77923D53-9EFB-4F62-BD87-6B79902FC96A}"/>
    <hyperlink ref="B73" r:id="rId58" display="http://eltweb04.elta.iai/pls/iman_Production/link_to_iman?item_id=1094F869-001" xr:uid="{51368791-129B-49F5-BD82-46A191EB9647}"/>
    <hyperlink ref="B74" r:id="rId59" display="http://eltweb04.elta.iai/pls/iman_Production/link_to_iman?item_id=1094F874-001" xr:uid="{686DC55F-F385-4852-A684-47637DAC9471}"/>
    <hyperlink ref="B75" r:id="rId60" display="http://eltweb04.elta.iai/pls/iman_Production/link_to_iman?item_id=1094F875-001" xr:uid="{E864DE0A-C140-4944-A4A5-961845BF7B3F}"/>
    <hyperlink ref="B76" r:id="rId61" display="http://eltweb04.elta.iai/pls/iman_Production/link_to_iman?item_id=1094F876-001" xr:uid="{0B413CC8-25A4-4396-BC4F-8391EBEF96D7}"/>
    <hyperlink ref="B77" r:id="rId62" display="http://eltweb04.elta.iai/pls/iman_Production/link_to_iman?item_id=1094F897-001" xr:uid="{A9F66B0C-DBB2-4143-A437-1309775EF7CE}"/>
    <hyperlink ref="B78" r:id="rId63" display="http://eltweb04.elta.iai/pls/iman_Production/link_to_iman?item_id=1094F898-001" xr:uid="{CA194384-72D4-4C0B-9EE4-24BABB9F47FF}"/>
    <hyperlink ref="B79" r:id="rId64" display="http://eltweb04.elta.iai/pls/iman_Production/link_to_iman?item_id=1094H845-001" xr:uid="{BDEFFD02-56D0-49E1-AED1-C998C590FD68}"/>
    <hyperlink ref="B80" r:id="rId65" display="http://eltweb04.elta.iai/pls/iman_Production/link_to_iman?item_id=1094J275-001" xr:uid="{41D95CE6-611D-42A5-BB68-7435EB52F889}"/>
    <hyperlink ref="B81" r:id="rId66" display="http://eltweb04.elta.iai/pls/iman_Production/link_to_iman?item_id=1094J281-001" xr:uid="{72F2695A-655C-4729-8540-A16E2C4254C7}"/>
    <hyperlink ref="B82" r:id="rId67" display="http://eltweb04.elta.iai/pls/iman_Production/link_to_iman?item_id=1094J287-001" xr:uid="{06717FA8-92D8-426D-8600-0A942BCAF6C7}"/>
    <hyperlink ref="B83" r:id="rId68" display="http://eltweb04.elta.iai/pls/iman_Production/link_to_iman?item_id=1094K661-001" xr:uid="{4E4577A3-D170-40C3-BD3A-421601E49F19}"/>
    <hyperlink ref="B84" r:id="rId69" display="http://eltweb04.elta.iai/pls/iman_Production/link_to_iman?item_id=1094K662-001" xr:uid="{8E6B7098-486B-417E-8BC8-9EAEB940E287}"/>
    <hyperlink ref="B85" r:id="rId70" display="http://eltweb04.elta.iai/pls/iman_Production/link_to_iman?item_id=1094K734-001" xr:uid="{58613235-69DC-4828-8EE4-157478798DE8}"/>
    <hyperlink ref="B86" r:id="rId71" display="http://eltweb04.elta.iai/pls/iman_Production/link_to_iman?item_id=1094K755-001" xr:uid="{FA87A13F-9105-45B9-B681-183DEB512047}"/>
    <hyperlink ref="B87" r:id="rId72" display="http://eltweb04.elta.iai/pls/iman_Production/link_to_iman?item_id=1094Y676-001" xr:uid="{6143C925-35EE-4B04-A0AE-4659572CF390}"/>
    <hyperlink ref="B88" r:id="rId73" display="http://eltweb04.elta.iai/pls/iman_Production/link_to_iman?item_id=1094Y679-001" xr:uid="{515C010F-7BA9-496F-B5E8-9D7B4BA47767}"/>
    <hyperlink ref="B89" r:id="rId74" display="http://eltweb04.elta.iai/pls/iman_Production/link_to_iman?item_id=1094Y682-001" xr:uid="{FDF3829C-0969-40D6-8B54-D9BB6DB4DF0A}"/>
    <hyperlink ref="B90" r:id="rId75" display="http://eltweb04.elta.iai/pls/iman_Production/link_to_iman?item_id=1094Y683-001" xr:uid="{C6086C0B-D6CA-4F77-9914-FDF65F51FE5D}"/>
    <hyperlink ref="B91" r:id="rId76" display="http://eltweb04.elta.iai/pls/iman_Production/link_to_iman?item_id=1094Y686-001" xr:uid="{54034FD3-1329-4918-98A8-E444F2DB3A87}"/>
    <hyperlink ref="B92" r:id="rId77" display="http://eltweb04.elta.iai/pls/iman_Production/link_to_iman?item_id=1094Y690-001" xr:uid="{AC17967D-B713-4F97-A285-2F08BA19AB2F}"/>
    <hyperlink ref="B93" r:id="rId78" display="http://eltweb04.elta.iai/pls/iman_Production/link_to_iman?item_id=1094Y691-001" xr:uid="{B74EA2CA-9BAB-45D7-B005-A92C1139D07C}"/>
    <hyperlink ref="B94" r:id="rId79" display="http://eltweb04.elta.iai/pls/iman_Production/link_to_iman?item_id=1094Y692-001" xr:uid="{F7610697-2867-4DC0-9504-37C96AB4E5FB}"/>
    <hyperlink ref="B95" r:id="rId80" display="http://eltweb04.elta.iai/pls/iman_Production/link_to_iman?item_id=1094Y693-001" xr:uid="{6A69E013-2525-4C04-9FD5-668D0911E8A4}"/>
    <hyperlink ref="B96" r:id="rId81" display="http://eltweb04.elta.iai/pls/iman_Production/link_to_iman?item_id=1096L950-001" xr:uid="{7C7E4DAC-BD8C-42E4-9143-1620B32B0642}"/>
    <hyperlink ref="B97" r:id="rId82" display="http://eltweb04.elta.iai/pls/iman_Production/link_to_iman?item_id=1096L953-001" xr:uid="{53B06BD8-43EB-43B8-8167-0E8475D69A29}"/>
    <hyperlink ref="B98" r:id="rId83" display="http://eltweb04.elta.iai/pls/iman_Production/link_to_iman?item_id=1096L954-001" xr:uid="{2D941617-0DEC-4DED-9013-26CDB67A6529}"/>
    <hyperlink ref="B99" r:id="rId84" display="http://eltweb04.elta.iai/pls/iman_Production/link_to_iman?item_id=1096L955-001" xr:uid="{22072203-1A17-4292-8DFA-38C15C26632D}"/>
    <hyperlink ref="B100" r:id="rId85" display="http://eltweb04.elta.iai/pls/iman_Production/link_to_iman?item_id=1096L960-001" xr:uid="{6A201D4C-768B-4AB4-B9AD-77C2808F2515}"/>
    <hyperlink ref="B101" r:id="rId86" display="http://eltweb04.elta.iai/pls/iman_Production/link_to_iman?item_id=1096L964-001" xr:uid="{CD230136-BF8E-4681-B62E-E143C0341916}"/>
    <hyperlink ref="B102" r:id="rId87" display="http://eltweb04.elta.iai/pls/iman_Production/link_to_iman?item_id=1096L965-001" xr:uid="{29633861-608E-49C3-ACF4-02FA6F1FCDAC}"/>
    <hyperlink ref="B103" r:id="rId88" display="http://eltweb04.elta.iai/pls/iman_Production/link_to_iman?item_id=1099E950-001" xr:uid="{48A9DEA6-0573-4261-99C0-2A314D53A39B}"/>
    <hyperlink ref="B104" r:id="rId89" display="http://eltweb04.elta.iai/pls/iman_Production/link_to_iman?item_id=1469074-1" xr:uid="{EFF4ECDC-4B99-4BC2-B911-281F034B3C35}"/>
    <hyperlink ref="B105" r:id="rId90" display="http://eltweb04.elta.iai/pls/iman_Production/link_to_iman?item_id=1469362-1" xr:uid="{CCF006A2-297C-479A-9ACB-D427C3BBE182}"/>
    <hyperlink ref="B106" r:id="rId91" display="http://eltweb04.elta.iai/pls/iman_Production/link_to_iman?item_id=19K101-K00L5" xr:uid="{A6ACD9A8-6129-4131-8224-2EFA90BFE720}"/>
    <hyperlink ref="B107" r:id="rId92" display="http://eltweb04.elta.iai/pls/iman_Production/link_to_iman?item_id=19S732-K04S5" xr:uid="{0356C6C1-543D-4BF9-9A68-2A5B6A6AE67D}"/>
    <hyperlink ref="B108" r:id="rId93" display="http://eltweb04.elta.iai/pls/iman_Production/link_to_iman?item_id=2082-6040-03" xr:uid="{BCC37BAB-62CF-4D4C-8A9C-D57CBBBEF2E6}"/>
    <hyperlink ref="B109" r:id="rId94" display="http://eltweb04.elta.iai/pls/iman_Production/link_to_iman?item_id=21-16.54" xr:uid="{58C02949-FACE-43F2-80AC-FA77AD0F286E}"/>
    <hyperlink ref="B110" r:id="rId95" display="http://eltweb04.elta.iai/pls/iman_Production/link_to_iman?item_id=242 50CC" xr:uid="{85C908FB-475C-4FCC-AC44-D3F4393F1F5A}"/>
    <hyperlink ref="B111" r:id="rId96" display="http://eltweb04.elta.iai/pls/iman_Production/link_to_iman?item_id=60-3/4IN36YD" xr:uid="{58A0F647-14C9-4E0F-8111-D09D30B61D01}"/>
    <hyperlink ref="B112" r:id="rId97" display="http://eltweb04.elta.iai/pls/iman_Production/link_to_iman?item_id=6930B621-002" xr:uid="{291CA2E8-57DC-43B6-A596-F060CA2133BA}"/>
    <hyperlink ref="B113" r:id="rId98" display="http://eltweb04.elta.iai/pls/iman_Production/link_to_iman?item_id=6931A080-001" xr:uid="{1CECD7F3-CFA3-41DD-8AB5-820E03107120}"/>
    <hyperlink ref="B114" r:id="rId99" display="http://eltweb04.elta.iai/pls/iman_Production/link_to_iman?item_id=6931A081-001" xr:uid="{C1285CCE-2C3A-452B-83C5-9C6595D9C17D}"/>
    <hyperlink ref="B115" r:id="rId100" display="http://eltweb04.elta.iai/pls/iman_Production/link_to_iman?item_id=6931A090-001" xr:uid="{21D108E7-2BAE-4ECB-A9E1-CCB3D62A3EBB}"/>
    <hyperlink ref="B116" r:id="rId101" display="http://eltweb04.elta.iai/pls/iman_Production/link_to_iman?item_id=6931A091-001" xr:uid="{87467129-A821-43E1-9823-F0C701C5E7A7}"/>
    <hyperlink ref="B117" r:id="rId102" display="http://eltweb04.elta.iai/pls/iman_Production/link_to_iman?item_id=6931A200-001" xr:uid="{C8F81D52-5D2B-4C0B-B2C2-595FD54B4770}"/>
    <hyperlink ref="B118" r:id="rId103" display="http://eltweb04.elta.iai/pls/iman_Production/link_to_iman?item_id=6931A201-001" xr:uid="{CBA35BF1-BF4C-43F3-8A7B-7C955A868981}"/>
    <hyperlink ref="B119" r:id="rId104" display="http://eltweb04.elta.iai/pls/iman_Production/link_to_iman?item_id=6931A250-001" xr:uid="{2F2F7BC6-9047-4439-BD0A-56ABA86DD148}"/>
    <hyperlink ref="B120" r:id="rId105" display="http://eltweb04.elta.iai/pls/iman_Production/link_to_iman?item_id=6931A350-001" xr:uid="{1966EB22-74DB-4B98-88E6-B9653D3ED5D3}"/>
    <hyperlink ref="B121" r:id="rId106" display="http://eltweb04.elta.iai/pls/iman_Production/link_to_iman?item_id=6931A400-001" xr:uid="{109D7A13-EE2D-4AB6-B90A-9BAAAA40C01D}"/>
    <hyperlink ref="B122" r:id="rId107" display="http://eltweb04.elta.iai/pls/iman_Production/link_to_iman?item_id=6931A450-001" xr:uid="{1F0B5465-BDC9-4CE0-8CEE-24EFF509885B}"/>
    <hyperlink ref="B123" r:id="rId108" display="http://eltweb04.elta.iai/pls/iman_Production/link_to_iman?item_id=6931A451-001" xr:uid="{04BDBE59-8F5D-4D64-8DD0-6CC5FCD2B922}"/>
    <hyperlink ref="B124" r:id="rId109" display="http://eltweb04.elta.iai/pls/iman_Production/link_to_iman?item_id=A-A-52080-B-3 BLACK" xr:uid="{F2109211-E695-49B7-9930-56FA15302E3D}"/>
    <hyperlink ref="B125" r:id="rId110" display="http://eltweb04.elta.iai/pls/iman_Production/link_to_iman?item_id=ADT-2793-TF-SMF-02" xr:uid="{CE78B607-EB22-4024-BA12-CC5AC062FC5A}"/>
    <hyperlink ref="B126" r:id="rId111" display="http://eltweb04.elta.iai/pls/iman_Production/link_to_iman?item_id=AS21919WDG05" xr:uid="{1ABC146A-DC7A-4BE2-A7C0-2AEF24EAF3B4}"/>
    <hyperlink ref="B127" r:id="rId112" display="http://eltweb04.elta.iai/pls/iman_Production/link_to_iman?item_id=ATT-0290-10-SMA-02" xr:uid="{897D24BD-6868-4374-BA11-8C4615C05A3A}"/>
    <hyperlink ref="B128" r:id="rId113" display="http://eltweb04.elta.iai/pls/iman_Production/link_to_iman?item_id=BACS38K4" xr:uid="{E0A040CF-492A-4BDC-8BBB-C61E7D9BD7E9}"/>
    <hyperlink ref="B129" r:id="rId114" display="http://eltweb04.elta.iai/pls/iman_Production/link_to_iman?item_id=BLD5000/01" xr:uid="{FDEFF82B-B3B4-4A1E-B307-C7571BB30144}"/>
    <hyperlink ref="B130" r:id="rId115" display="http://eltweb04.elta.iai/pls/iman_Production/link_to_iman?item_id=C0402C104K4RACTU" xr:uid="{DB47C605-2826-42DE-A0C9-89FA0B63FA42}"/>
    <hyperlink ref="B131" r:id="rId116" display="http://eltweb04.elta.iai/pls/iman_Production/link_to_iman?item_id=C10-218" xr:uid="{833670CC-0086-443C-A146-6919F36FF61A}"/>
    <hyperlink ref="B132" r:id="rId117" display="http://eltweb04.elta.iai/pls/iman_Production/link_to_iman?item_id=CRCW0402100RFKTD" xr:uid="{7768AD02-73A1-4E84-B21F-0E621178B1CB}"/>
    <hyperlink ref="B133" r:id="rId118" display="http://eltweb04.elta.iai/pls/iman_Production/link_to_iman?item_id=CRCW04021K00FKTD" xr:uid="{D2857A64-9BD5-405C-8199-D55F9A2DB0E4}"/>
    <hyperlink ref="B134" r:id="rId119" display="http://eltweb04.elta.iai/pls/iman_Production/link_to_iman?item_id=D38999/33W17N" xr:uid="{A69AEEBE-A605-457E-8E0D-DA380AC6BBDE}"/>
    <hyperlink ref="B135" r:id="rId120" display="http://eltweb04.elta.iai/pls/iman_Production/link_to_iman?item_id=D38999/33W21N" xr:uid="{22D111D9-141E-42E7-B543-D29671AB9810}"/>
    <hyperlink ref="B136" r:id="rId121" display="http://eltweb04.elta.iai/pls/iman_Production/link_to_iman?item_id=D791639-8/10-B" xr:uid="{DAA9AD6C-0CB4-4484-96D9-38AD4D187481}"/>
    <hyperlink ref="B137" r:id="rId122" display="http://eltweb04.elta.iai/pls/iman_Production/link_to_iman?item_id=DC1M-04GD31W1DR" xr:uid="{78A6E633-886A-4FA3-9F17-568C7E28FE73}"/>
    <hyperlink ref="B138" r:id="rId123" display="http://eltweb04.elta.iai/pls/iman_Production/link_to_iman?item_id=DS26LV31TMX" xr:uid="{C4E559FA-B6FB-484E-8FA6-D2F2FB807C0A}"/>
    <hyperlink ref="B139" r:id="rId124" display="http://eltweb04.elta.iai/pls/iman_Production/link_to_iman?item_id=DS26LV32ATMX/NOPB" xr:uid="{9E14A422-EB0F-4FEF-ADF5-2A864FC193B4}"/>
    <hyperlink ref="B140" r:id="rId125" display="http://eltweb04.elta.iai/pls/iman_Production/link_to_iman?item_id=FT1033-2L" xr:uid="{D90EDDDD-7979-4206-8249-FB0A4626332E}"/>
    <hyperlink ref="B141" r:id="rId126" display="http://eltweb04.elta.iai/pls/iman_Production/link_to_iman?item_id=FT1737HS-8-8-A" xr:uid="{3CDF55E1-C2B6-48FA-9B21-4CD98E611A02}"/>
    <hyperlink ref="B142" r:id="rId127" display="http://eltweb04.elta.iai/pls/iman_Production/link_to_iman?item_id=LOCTITE 222-10CC" xr:uid="{26285A23-A40A-4DE8-B555-752DA31AAB57}"/>
    <hyperlink ref="B143" r:id="rId128" display="http://eltweb04.elta.iai/pls/iman_Production/link_to_iman?item_id=LPMM-S2" xr:uid="{24747EC6-852D-4427-8A80-94CD53B3FC2F}"/>
    <hyperlink ref="B144" r:id="rId129" display="http://eltweb04.elta.iai/pls/iman_Production/link_to_iman?item_id=LZ28-1" xr:uid="{0ED87534-0422-443A-8BF0-ACD99CCFC03F}"/>
    <hyperlink ref="B145" r:id="rId130" display="http://eltweb04.elta.iai/pls/iman_Production/link_to_iman?item_id=M24308/26-1F" xr:uid="{CE94C1BB-B8A4-417F-B787-9536DBF3927C}"/>
    <hyperlink ref="B146" r:id="rId131" display="http://eltweb04.elta.iai/pls/iman_Production/link_to_iman?item_id=MS15795-802" xr:uid="{4DC3BE70-30E2-4FD3-ACD3-041C5C29A9E9}"/>
    <hyperlink ref="B147" r:id="rId132" display="http://eltweb04.elta.iai/pls/iman_Production/link_to_iman?item_id=MS15795-803" xr:uid="{D435347E-3B92-47DE-913A-D7504705C6AA}"/>
    <hyperlink ref="B148" r:id="rId133" display="http://eltweb04.elta.iai/pls/iman_Production/link_to_iman?item_id=MS15795-805" xr:uid="{C0B63833-E73D-477D-82B4-EBBF097C848F}"/>
    <hyperlink ref="B149" r:id="rId134" display="http://eltweb04.elta.iai/pls/iman_Production/link_to_iman?item_id=MS15795-807" xr:uid="{B8FC2AD3-E57E-40EF-AA7E-38354AB87963}"/>
    <hyperlink ref="B150" r:id="rId135" display="http://eltweb04.elta.iai/pls/iman_Production/link_to_iman?item_id=MS16995-10" xr:uid="{38A4F3DB-AE44-4A0C-B8A7-9DED88AC4A2D}"/>
    <hyperlink ref="B151" r:id="rId136" display="http://eltweb04.elta.iai/pls/iman_Production/link_to_iman?item_id=MS16995-16" xr:uid="{C8AE964D-947F-4761-8B83-B88AD1E5D44A}"/>
    <hyperlink ref="B152" r:id="rId137" display="http://eltweb04.elta.iai/pls/iman_Production/link_to_iman?item_id=MS16996-10" xr:uid="{4C6A6FE0-5390-4F32-9041-886FD37BD1AA}"/>
    <hyperlink ref="B153" r:id="rId138" display="http://eltweb04.elta.iai/pls/iman_Production/link_to_iman?item_id=MS24693-C25" xr:uid="{DB43ACD4-9417-44A5-BEC9-FE55EAAE2F4F}"/>
    <hyperlink ref="B154" r:id="rId139" display="http://eltweb04.elta.iai/pls/iman_Production/link_to_iman?item_id=MS24693-C26" xr:uid="{3CB426E7-5C12-4909-87A1-588EEFD914B5}"/>
    <hyperlink ref="B155" r:id="rId140" display="http://eltweb04.elta.iai/pls/iman_Production/link_to_iman?item_id=MS24693-C3" xr:uid="{EC61A09B-98AA-4624-97D2-78F202C430CF}"/>
    <hyperlink ref="B156" r:id="rId141" display="http://eltweb04.elta.iai/pls/iman_Production/link_to_iman?item_id=MS24693-C49" xr:uid="{BDA283D2-1D38-496C-BC5B-A6222CACB196}"/>
    <hyperlink ref="B157" r:id="rId142" display="http://eltweb04.elta.iai/pls/iman_Production/link_to_iman?item_id=MS3213-22" xr:uid="{CA7C2DFC-9038-4E2B-A998-861B633E8C6D}"/>
    <hyperlink ref="B158" r:id="rId143" display="http://eltweb04.elta.iai/pls/iman_Production/link_to_iman?item_id=MS3367-5-9" xr:uid="{D9443504-EBD1-40ED-B223-08295639E278}"/>
    <hyperlink ref="B159" r:id="rId144" display="http://eltweb04.elta.iai/pls/iman_Production/link_to_iman?item_id=MS3367-7-9" xr:uid="{6496974F-ACC9-4A36-92B6-74AEAACB3730}"/>
    <hyperlink ref="B160" r:id="rId145" display="http://eltweb04.elta.iai/pls/iman_Production/link_to_iman?item_id=MS35338-134" xr:uid="{7D70EA97-4D89-4CC0-B7B5-430C65851A6B}"/>
    <hyperlink ref="B161" r:id="rId146" display="http://eltweb04.elta.iai/pls/iman_Production/link_to_iman?item_id=MS35338-135" xr:uid="{832F9231-1A0B-4BC6-9253-6BB626B908A8}"/>
    <hyperlink ref="B162" r:id="rId147" display="http://eltweb04.elta.iai/pls/iman_Production/link_to_iman?item_id=MS35338-136" xr:uid="{FD5A8C85-ED7C-4CD4-A65E-C60F0D76F575}"/>
    <hyperlink ref="B163" r:id="rId148" display="http://eltweb04.elta.iai/pls/iman_Production/link_to_iman?item_id=MS35338-137" xr:uid="{348866FF-E7D2-4694-9DA2-3647FBA2E40C}"/>
    <hyperlink ref="B164" r:id="rId149" display="http://eltweb04.elta.iai/pls/iman_Production/link_to_iman?item_id=MS35338-138" xr:uid="{FA850DC4-E5E3-4D3B-B849-6EE5046A3A3F}"/>
    <hyperlink ref="B165" r:id="rId150" display="http://eltweb04.elta.iai/pls/iman_Production/link_to_iman?item_id=MS51957-10" xr:uid="{A737CE5B-CB5F-4DDB-95EF-85B9FBA8460B}"/>
    <hyperlink ref="B166" r:id="rId151" display="http://eltweb04.elta.iai/pls/iman_Production/link_to_iman?item_id=MS51957-13" xr:uid="{E50A6C08-72A2-4148-B2F3-F57FA5F414F9}"/>
    <hyperlink ref="B167" r:id="rId152" display="http://eltweb04.elta.iai/pls/iman_Production/link_to_iman?item_id=MS51957-14" xr:uid="{12662C92-E8A7-47A8-AB25-59DA3EC6B1B4}"/>
    <hyperlink ref="B168" r:id="rId153" display="http://eltweb04.elta.iai/pls/iman_Production/link_to_iman?item_id=MS51957-15" xr:uid="{8A3FA86C-D7F0-42B2-8189-366F18EECD3B}"/>
    <hyperlink ref="B169" r:id="rId154" display="http://eltweb04.elta.iai/pls/iman_Production/link_to_iman?item_id=MS51957-17" xr:uid="{9C5B325F-97A0-4032-B6E5-D575D683B33E}"/>
    <hyperlink ref="B170" r:id="rId155" display="http://eltweb04.elta.iai/pls/iman_Production/link_to_iman?item_id=MS51957-19" xr:uid="{E0AA18EC-167D-4A20-B965-80F8B51C48E5}"/>
    <hyperlink ref="B171" r:id="rId156" display="http://eltweb04.elta.iai/pls/iman_Production/link_to_iman?item_id=MS51957-22" xr:uid="{25A6B229-A3D8-4171-9C9E-07BA6DE923D7}"/>
    <hyperlink ref="B172" r:id="rId157" display="http://eltweb04.elta.iai/pls/iman_Production/link_to_iman?item_id=MS51957-26" xr:uid="{FF34D9A7-2368-4825-86BA-3E890546C809}"/>
    <hyperlink ref="B173" r:id="rId158" display="http://eltweb04.elta.iai/pls/iman_Production/link_to_iman?item_id=MS51957-27" xr:uid="{582385B4-6164-4F76-A780-6BD37A5FE8EE}"/>
    <hyperlink ref="B174" r:id="rId159" display="http://eltweb04.elta.iai/pls/iman_Production/link_to_iman?item_id=MS51957-29" xr:uid="{E13E408C-346E-4174-96BB-F58FDDB3786D}"/>
    <hyperlink ref="B175" r:id="rId160" display="http://eltweb04.elta.iai/pls/iman_Production/link_to_iman?item_id=MS51957-3" xr:uid="{55E868AF-4FC1-48F4-89F2-6217C21D3375}"/>
    <hyperlink ref="B176" r:id="rId161" display="http://eltweb04.elta.iai/pls/iman_Production/link_to_iman?item_id=MS51957-33" xr:uid="{E3577424-6A62-420F-8C1C-9CCFAC0C66AF}"/>
    <hyperlink ref="B177" r:id="rId162" display="http://eltweb04.elta.iai/pls/iman_Production/link_to_iman?item_id=MS51957-4" xr:uid="{3AB315A5-BCFE-404C-A5F6-8314AB1F31F2}"/>
    <hyperlink ref="B178" r:id="rId163" display="http://eltweb04.elta.iai/pls/iman_Production/link_to_iman?item_id=MS51957-7" xr:uid="{3C708B40-BE60-4E8D-844B-14FC920B3400}"/>
    <hyperlink ref="B179" r:id="rId164" display="http://eltweb04.elta.iai/pls/iman_Production/link_to_iman?item_id=MS51957-9" xr:uid="{35AC7FD6-FC6F-4497-9803-B4E50682FCAF}"/>
    <hyperlink ref="B180" r:id="rId165" display="http://eltweb04.elta.iai/pls/iman_Production/link_to_iman?item_id=NAS1352C02-5" xr:uid="{6C4A483A-3E4F-4F44-BD3E-6B928FF85D73}"/>
    <hyperlink ref="B181" r:id="rId166" display="http://eltweb04.elta.iai/pls/iman_Production/link_to_iman?item_id=NAS1352C04-12" xr:uid="{E57AB6CD-7CDC-4988-900B-4810CAB0D686}"/>
    <hyperlink ref="B182" r:id="rId167" display="http://eltweb04.elta.iai/pls/iman_Production/link_to_iman?item_id=NAS1352C08-10" xr:uid="{603F176A-202A-4894-948C-96A2C554D4DA}"/>
    <hyperlink ref="B183" r:id="rId168" display="http://eltweb04.elta.iai/pls/iman_Production/link_to_iman?item_id=NAS1352C08-7" xr:uid="{86478419-D2B1-48C9-BD05-9AD2E12DC441}"/>
    <hyperlink ref="B184" r:id="rId169" display="http://eltweb04.elta.iai/pls/iman_Production/link_to_iman?item_id=NAS1676C4" xr:uid="{22FE8A8F-22BC-4FFC-BD74-771FDC75F0D4}"/>
    <hyperlink ref="B185" r:id="rId170" display="http://eltweb04.elta.iai/pls/iman_Production/link_to_iman?item_id=NAS620-10" xr:uid="{6858B0C8-1525-4F51-BCD6-ADA0BA95DEE3}"/>
    <hyperlink ref="B186" r:id="rId171" display="http://eltweb04.elta.iai/pls/iman_Production/link_to_iman?item_id=NAS620-6" xr:uid="{E9B73DA7-2031-47DC-85DA-3A902CB7C058}"/>
    <hyperlink ref="B187" r:id="rId172" display="http://eltweb04.elta.iai/pls/iman_Production/link_to_iman?item_id=NAS620C2" xr:uid="{B0291C6D-2065-448A-A477-685A9DACA318}"/>
    <hyperlink ref="B188" r:id="rId173" display="http://eltweb04.elta.iai/pls/iman_Production/link_to_iman?item_id=NAS620C4" xr:uid="{CEDE07C9-9A65-4BA8-A62A-16DF3B892CEA}"/>
    <hyperlink ref="B189" r:id="rId174" display="http://eltweb04.elta.iai/pls/iman_Production/link_to_iman?item_id=NAS620C6" xr:uid="{81ECE8A7-6C36-49E1-8233-EA5CC5E56F9D}"/>
    <hyperlink ref="B190" r:id="rId175" display="http://eltweb04.elta.iai/pls/iman_Production/link_to_iman?item_id=NAS620C8" xr:uid="{A0932536-8544-43F4-B17F-89440B6E4375}"/>
    <hyperlink ref="B191" r:id="rId176" display="http://eltweb04.elta.iai/pls/iman_Production/link_to_iman?item_id=NAS662C2R3" xr:uid="{8C42250C-CE53-4C6A-972C-6AC91A97A301}"/>
    <hyperlink ref="B192" r:id="rId177" display="http://eltweb04.elta.iai/pls/iman_Production/link_to_iman?item_id=PLT1M-M" xr:uid="{F85A10C3-65C2-442E-99A4-AC296CDC8960}"/>
    <hyperlink ref="B193" r:id="rId178" display="http://eltweb04.elta.iai/pls/iman_Production/link_to_iman?item_id=PSOT03C-LF-T7" xr:uid="{E4E845BA-48F3-4C0A-A7DC-7B2E9B0DF377}"/>
    <hyperlink ref="B194" r:id="rId179" display="http://eltweb04.elta.iai/pls/iman_Production/link_to_iman?item_id=PTL-10-426" xr:uid="{A57D06E2-4C56-4959-A6F4-74248F16F66C}"/>
    <hyperlink ref="B195" r:id="rId180" display="http://eltweb04.elta.iai/pls/iman_Production/link_to_iman?item_id=R191.843.401" xr:uid="{827B6EFD-912A-4B80-A1C0-1A86278A8672}"/>
    <hyperlink ref="B196" r:id="rId181" display="http://eltweb04.elta.iai/pls/iman_Production/link_to_iman?item_id=R222.723.110" xr:uid="{F1607E35-0120-4778-BB45-5577698DCF5D}"/>
    <hyperlink ref="B197" r:id="rId182" display="http://eltweb04.elta.iai/pls/iman_Production/link_to_iman?item_id=R222.723.220" xr:uid="{B3BF1D2F-EBC0-4C9E-8C1C-268D68F5FEB3}"/>
    <hyperlink ref="B198" r:id="rId183" display="http://eltweb04.elta.iai/pls/iman_Production/link_to_iman?item_id=R404N05000" xr:uid="{6BAE2696-2AA8-488C-B3ED-3FBF951406F6}"/>
    <hyperlink ref="B199" r:id="rId184" display="http://eltweb04.elta.iai/pls/iman_Production/link_to_iman?item_id=SMDA03LCC-LF-T7" xr:uid="{9F9A0355-F647-4856-B4C4-9F10CF63EA9A}"/>
    <hyperlink ref="B200" r:id="rId185" display="http://eltweb04.elta.iai/pls/iman_Production/link_to_iman?item_id=TM1S4-C" xr:uid="{3E2A95C0-D357-4049-A1C7-56D7E7100C65}"/>
    <hyperlink ref="B201" r:id="rId186" display="http://eltweb04.elta.iai/pls/iman_Production/link_to_iman?item_id=TM2S6" xr:uid="{6CC269F7-AB99-409C-8161-2C96EB4359B7}"/>
    <hyperlink ref="B202" r:id="rId187" display="http://eltweb04.elta.iai/pls/iman_Production/link_to_iman?item_id=TM2S8" xr:uid="{5FD33545-D6DE-4903-9732-0C9F785D87F7}"/>
    <hyperlink ref="B203" r:id="rId188" display="http://eltweb04.elta.iai/pls/iman_Production/link_to_iman?item_id=TRM-2107-MC-TNC-02" xr:uid="{2CDCB50A-FA8C-4B5F-872E-C9461B973EB0}"/>
    <hyperlink ref="B204" r:id="rId189" display="http://eltweb04.elta.iai/pls/iman_Production/link_to_iman?item_id=TVBJW-13-35SPA" xr:uid="{4D880345-DC3A-4513-9D1D-784E534AD63C}"/>
    <hyperlink ref="B205" r:id="rId190" display="http://eltweb04.elta.iai/pls/iman_Production/link_to_iman?item_id=ZB4PD-42-S+" xr:uid="{42A56246-7158-4F31-92E8-54F702E1E548}"/>
    <hyperlink ref="AC53" r:id="rId191" display="mailto:chen@amphenol-bartec.com" xr:uid="{2EADBD3C-A293-47A0-B3EF-1E1363A34B9F}"/>
    <hyperlink ref="AC31" r:id="rId192" xr:uid="{17AD02A6-9798-4B07-9AE7-5B2E17D657A8}"/>
    <hyperlink ref="AC79" r:id="rId193" xr:uid="{2ED9D506-1F04-479B-82F5-357435CA75F3}"/>
    <hyperlink ref="AC126" r:id="rId194" xr:uid="{BA3D454A-A579-4EC5-9452-1FC13306A6B0}"/>
  </hyperlinks>
  <printOptions gridLines="1" gridLinesSet="0"/>
  <pageMargins left="0.75" right="0.75" top="1" bottom="1" header="0.5" footer="0.5"/>
  <pageSetup paperSize="9" fitToWidth="0" fitToHeight="0" orientation="portrait" r:id="rId19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D89E-C270-4534-A9F1-AFB8D3BA9707}">
  <sheetPr filterMode="1"/>
  <dimension ref="A1:E548"/>
  <sheetViews>
    <sheetView workbookViewId="0">
      <selection activeCell="C552" sqref="C552"/>
    </sheetView>
  </sheetViews>
  <sheetFormatPr defaultRowHeight="12.75" x14ac:dyDescent="0.2"/>
  <cols>
    <col min="1" max="1" width="10.28515625" bestFit="1" customWidth="1"/>
    <col min="2" max="2" width="10.42578125" bestFit="1" customWidth="1"/>
    <col min="3" max="3" width="48.140625" bestFit="1" customWidth="1"/>
    <col min="4" max="4" width="26.85546875" bestFit="1" customWidth="1"/>
    <col min="5" max="5" width="25" bestFit="1" customWidth="1"/>
  </cols>
  <sheetData>
    <row r="1" spans="1:5" x14ac:dyDescent="0.2">
      <c r="A1" t="s">
        <v>734</v>
      </c>
      <c r="B1" t="s">
        <v>735</v>
      </c>
      <c r="C1" t="s">
        <v>4</v>
      </c>
      <c r="D1" t="s">
        <v>736</v>
      </c>
      <c r="E1" t="s">
        <v>737</v>
      </c>
    </row>
    <row r="2" spans="1:5" hidden="1" x14ac:dyDescent="0.2">
      <c r="A2">
        <v>400176910</v>
      </c>
      <c r="B2">
        <v>400032153</v>
      </c>
      <c r="C2" t="s">
        <v>235</v>
      </c>
      <c r="D2" t="s">
        <v>234</v>
      </c>
      <c r="E2" t="s">
        <v>24</v>
      </c>
    </row>
    <row r="3" spans="1:5" hidden="1" x14ac:dyDescent="0.2">
      <c r="A3">
        <v>525403051</v>
      </c>
      <c r="B3">
        <v>400032153</v>
      </c>
      <c r="C3" t="s">
        <v>738</v>
      </c>
      <c r="D3" t="s">
        <v>739</v>
      </c>
      <c r="E3" t="s">
        <v>234</v>
      </c>
    </row>
    <row r="4" spans="1:5" hidden="1" x14ac:dyDescent="0.2">
      <c r="A4">
        <v>400071638</v>
      </c>
      <c r="B4">
        <v>400072364</v>
      </c>
      <c r="C4" t="s">
        <v>740</v>
      </c>
      <c r="D4" t="s">
        <v>741</v>
      </c>
      <c r="E4" t="s">
        <v>72</v>
      </c>
    </row>
    <row r="5" spans="1:5" hidden="1" x14ac:dyDescent="0.2">
      <c r="A5">
        <v>400236243</v>
      </c>
      <c r="B5">
        <v>400072364</v>
      </c>
      <c r="C5" t="s">
        <v>742</v>
      </c>
      <c r="D5" t="s">
        <v>743</v>
      </c>
      <c r="E5" t="s">
        <v>72</v>
      </c>
    </row>
    <row r="6" spans="1:5" hidden="1" x14ac:dyDescent="0.2">
      <c r="A6">
        <v>400542420</v>
      </c>
      <c r="B6">
        <v>400072364</v>
      </c>
      <c r="C6" t="s">
        <v>73</v>
      </c>
      <c r="D6" t="s">
        <v>72</v>
      </c>
      <c r="E6" t="s">
        <v>24</v>
      </c>
    </row>
    <row r="7" spans="1:5" hidden="1" x14ac:dyDescent="0.2">
      <c r="A7" t="s">
        <v>744</v>
      </c>
      <c r="B7">
        <v>400072364</v>
      </c>
      <c r="C7" t="s">
        <v>745</v>
      </c>
      <c r="D7" t="s">
        <v>746</v>
      </c>
      <c r="E7" t="s">
        <v>72</v>
      </c>
    </row>
    <row r="8" spans="1:5" hidden="1" x14ac:dyDescent="0.2">
      <c r="A8">
        <v>400074837</v>
      </c>
      <c r="B8">
        <v>400074846</v>
      </c>
      <c r="C8" t="s">
        <v>747</v>
      </c>
      <c r="D8" t="s">
        <v>748</v>
      </c>
      <c r="E8" t="s">
        <v>94</v>
      </c>
    </row>
    <row r="9" spans="1:5" hidden="1" x14ac:dyDescent="0.2">
      <c r="A9">
        <v>405580071</v>
      </c>
      <c r="B9">
        <v>400074846</v>
      </c>
      <c r="C9" t="s">
        <v>96</v>
      </c>
      <c r="D9" t="s">
        <v>94</v>
      </c>
      <c r="E9" t="s">
        <v>24</v>
      </c>
    </row>
    <row r="10" spans="1:5" hidden="1" x14ac:dyDescent="0.2">
      <c r="A10" t="s">
        <v>749</v>
      </c>
      <c r="B10">
        <v>400074846</v>
      </c>
      <c r="C10" t="s">
        <v>750</v>
      </c>
      <c r="D10" t="s">
        <v>751</v>
      </c>
      <c r="E10" t="s">
        <v>94</v>
      </c>
    </row>
    <row r="11" spans="1:5" hidden="1" x14ac:dyDescent="0.2">
      <c r="A11">
        <v>400306768</v>
      </c>
      <c r="B11">
        <v>400095447</v>
      </c>
      <c r="C11" t="s">
        <v>138</v>
      </c>
      <c r="D11" t="s">
        <v>752</v>
      </c>
      <c r="E11" t="s">
        <v>137</v>
      </c>
    </row>
    <row r="12" spans="1:5" hidden="1" x14ac:dyDescent="0.2">
      <c r="A12">
        <v>400333655</v>
      </c>
      <c r="B12">
        <v>400095447</v>
      </c>
      <c r="C12" t="s">
        <v>138</v>
      </c>
      <c r="D12" t="s">
        <v>753</v>
      </c>
      <c r="E12" t="s">
        <v>137</v>
      </c>
    </row>
    <row r="13" spans="1:5" hidden="1" x14ac:dyDescent="0.2">
      <c r="A13">
        <v>400550612</v>
      </c>
      <c r="B13">
        <v>400095447</v>
      </c>
      <c r="C13" t="s">
        <v>138</v>
      </c>
      <c r="D13" t="s">
        <v>754</v>
      </c>
      <c r="E13" t="s">
        <v>137</v>
      </c>
    </row>
    <row r="14" spans="1:5" hidden="1" x14ac:dyDescent="0.2">
      <c r="A14">
        <v>400551283</v>
      </c>
      <c r="B14">
        <v>400095447</v>
      </c>
      <c r="C14" t="s">
        <v>138</v>
      </c>
      <c r="D14" t="s">
        <v>755</v>
      </c>
      <c r="E14" t="s">
        <v>137</v>
      </c>
    </row>
    <row r="15" spans="1:5" hidden="1" x14ac:dyDescent="0.2">
      <c r="A15">
        <v>400604068</v>
      </c>
      <c r="B15">
        <v>400095447</v>
      </c>
      <c r="C15" t="s">
        <v>756</v>
      </c>
      <c r="D15" t="s">
        <v>757</v>
      </c>
      <c r="E15" t="s">
        <v>137</v>
      </c>
    </row>
    <row r="16" spans="1:5" hidden="1" x14ac:dyDescent="0.2">
      <c r="A16">
        <v>400607521</v>
      </c>
      <c r="B16">
        <v>400095447</v>
      </c>
      <c r="C16" t="s">
        <v>138</v>
      </c>
      <c r="D16" t="s">
        <v>758</v>
      </c>
      <c r="E16" t="s">
        <v>137</v>
      </c>
    </row>
    <row r="17" spans="1:5" hidden="1" x14ac:dyDescent="0.2">
      <c r="A17">
        <v>402020886</v>
      </c>
      <c r="B17">
        <v>400095447</v>
      </c>
      <c r="C17" t="s">
        <v>138</v>
      </c>
      <c r="D17" t="s">
        <v>759</v>
      </c>
      <c r="E17" t="s">
        <v>137</v>
      </c>
    </row>
    <row r="18" spans="1:5" hidden="1" x14ac:dyDescent="0.2">
      <c r="A18">
        <v>417983138</v>
      </c>
      <c r="B18">
        <v>400095447</v>
      </c>
      <c r="C18" t="s">
        <v>138</v>
      </c>
      <c r="D18" t="s">
        <v>137</v>
      </c>
      <c r="E18" t="s">
        <v>24</v>
      </c>
    </row>
    <row r="19" spans="1:5" hidden="1" x14ac:dyDescent="0.2">
      <c r="A19" t="s">
        <v>760</v>
      </c>
      <c r="B19">
        <v>400095447</v>
      </c>
      <c r="C19" t="s">
        <v>761</v>
      </c>
      <c r="D19" t="s">
        <v>762</v>
      </c>
      <c r="E19" t="s">
        <v>137</v>
      </c>
    </row>
    <row r="20" spans="1:5" hidden="1" x14ac:dyDescent="0.2">
      <c r="A20" t="s">
        <v>763</v>
      </c>
      <c r="B20">
        <v>400095447</v>
      </c>
      <c r="C20" t="s">
        <v>764</v>
      </c>
      <c r="D20" t="s">
        <v>765</v>
      </c>
      <c r="E20" t="s">
        <v>137</v>
      </c>
    </row>
    <row r="21" spans="1:5" hidden="1" x14ac:dyDescent="0.2">
      <c r="A21" t="s">
        <v>766</v>
      </c>
      <c r="B21">
        <v>400095447</v>
      </c>
      <c r="C21" t="s">
        <v>761</v>
      </c>
      <c r="D21" t="s">
        <v>767</v>
      </c>
      <c r="E21" t="s">
        <v>137</v>
      </c>
    </row>
    <row r="22" spans="1:5" hidden="1" x14ac:dyDescent="0.2">
      <c r="A22">
        <v>400017449</v>
      </c>
      <c r="B22">
        <v>400095450</v>
      </c>
      <c r="C22" t="s">
        <v>768</v>
      </c>
      <c r="D22" t="s">
        <v>769</v>
      </c>
      <c r="E22" t="s">
        <v>139</v>
      </c>
    </row>
    <row r="23" spans="1:5" hidden="1" x14ac:dyDescent="0.2">
      <c r="A23">
        <v>400249752</v>
      </c>
      <c r="B23">
        <v>400095450</v>
      </c>
      <c r="C23" t="s">
        <v>217</v>
      </c>
      <c r="D23" t="s">
        <v>770</v>
      </c>
      <c r="E23" t="s">
        <v>139</v>
      </c>
    </row>
    <row r="24" spans="1:5" hidden="1" x14ac:dyDescent="0.2">
      <c r="A24">
        <v>400709578</v>
      </c>
      <c r="B24">
        <v>400095450</v>
      </c>
      <c r="C24" t="s">
        <v>140</v>
      </c>
      <c r="D24" t="s">
        <v>139</v>
      </c>
      <c r="E24" t="s">
        <v>24</v>
      </c>
    </row>
    <row r="25" spans="1:5" hidden="1" x14ac:dyDescent="0.2">
      <c r="A25">
        <v>401197118</v>
      </c>
      <c r="B25">
        <v>400095450</v>
      </c>
      <c r="C25" t="s">
        <v>217</v>
      </c>
      <c r="D25" t="s">
        <v>771</v>
      </c>
      <c r="E25" t="s">
        <v>139</v>
      </c>
    </row>
    <row r="26" spans="1:5" hidden="1" x14ac:dyDescent="0.2">
      <c r="A26">
        <v>411170044</v>
      </c>
      <c r="B26">
        <v>400095450</v>
      </c>
      <c r="C26" t="s">
        <v>217</v>
      </c>
      <c r="D26" t="s">
        <v>772</v>
      </c>
      <c r="E26" t="s">
        <v>139</v>
      </c>
    </row>
    <row r="27" spans="1:5" hidden="1" x14ac:dyDescent="0.2">
      <c r="A27" t="s">
        <v>773</v>
      </c>
      <c r="B27">
        <v>400095450</v>
      </c>
      <c r="C27" t="s">
        <v>774</v>
      </c>
      <c r="D27" t="s">
        <v>775</v>
      </c>
      <c r="E27" t="s">
        <v>139</v>
      </c>
    </row>
    <row r="28" spans="1:5" hidden="1" x14ac:dyDescent="0.2">
      <c r="A28" t="s">
        <v>776</v>
      </c>
      <c r="B28">
        <v>400095450</v>
      </c>
      <c r="C28" t="s">
        <v>140</v>
      </c>
      <c r="D28" t="s">
        <v>777</v>
      </c>
      <c r="E28" t="s">
        <v>139</v>
      </c>
    </row>
    <row r="29" spans="1:5" hidden="1" x14ac:dyDescent="0.2">
      <c r="A29" t="s">
        <v>778</v>
      </c>
      <c r="B29">
        <v>400095450</v>
      </c>
      <c r="C29" t="s">
        <v>779</v>
      </c>
      <c r="D29" t="s">
        <v>780</v>
      </c>
      <c r="E29" t="s">
        <v>139</v>
      </c>
    </row>
    <row r="30" spans="1:5" hidden="1" x14ac:dyDescent="0.2">
      <c r="A30" t="s">
        <v>781</v>
      </c>
      <c r="B30">
        <v>400095450</v>
      </c>
      <c r="C30" t="s">
        <v>782</v>
      </c>
      <c r="D30" t="s">
        <v>783</v>
      </c>
      <c r="E30" t="s">
        <v>139</v>
      </c>
    </row>
    <row r="31" spans="1:5" hidden="1" x14ac:dyDescent="0.2">
      <c r="A31" t="s">
        <v>784</v>
      </c>
      <c r="B31">
        <v>400095450</v>
      </c>
      <c r="C31" t="s">
        <v>785</v>
      </c>
      <c r="D31" t="s">
        <v>786</v>
      </c>
      <c r="E31" t="s">
        <v>139</v>
      </c>
    </row>
    <row r="32" spans="1:5" hidden="1" x14ac:dyDescent="0.2">
      <c r="A32" t="s">
        <v>787</v>
      </c>
      <c r="B32">
        <v>400095450</v>
      </c>
      <c r="C32" t="s">
        <v>782</v>
      </c>
      <c r="D32" t="s">
        <v>788</v>
      </c>
      <c r="E32" t="s">
        <v>139</v>
      </c>
    </row>
    <row r="33" spans="1:5" hidden="1" x14ac:dyDescent="0.2">
      <c r="A33">
        <v>400249775</v>
      </c>
      <c r="B33">
        <v>400275214</v>
      </c>
      <c r="C33" t="s">
        <v>613</v>
      </c>
      <c r="D33" t="s">
        <v>612</v>
      </c>
      <c r="E33" t="s">
        <v>789</v>
      </c>
    </row>
    <row r="34" spans="1:5" hidden="1" x14ac:dyDescent="0.2">
      <c r="A34">
        <v>400656753</v>
      </c>
      <c r="B34">
        <v>400275214</v>
      </c>
      <c r="C34" t="s">
        <v>790</v>
      </c>
      <c r="D34" t="s">
        <v>789</v>
      </c>
      <c r="E34" t="s">
        <v>24</v>
      </c>
    </row>
    <row r="35" spans="1:5" hidden="1" x14ac:dyDescent="0.2">
      <c r="A35">
        <v>411170046</v>
      </c>
      <c r="B35">
        <v>400275214</v>
      </c>
      <c r="C35" t="s">
        <v>613</v>
      </c>
      <c r="D35" t="s">
        <v>791</v>
      </c>
      <c r="E35" t="s">
        <v>789</v>
      </c>
    </row>
    <row r="36" spans="1:5" hidden="1" x14ac:dyDescent="0.2">
      <c r="A36" t="s">
        <v>792</v>
      </c>
      <c r="B36">
        <v>400275214</v>
      </c>
      <c r="C36" t="s">
        <v>793</v>
      </c>
      <c r="D36" t="s">
        <v>794</v>
      </c>
      <c r="E36" t="s">
        <v>789</v>
      </c>
    </row>
    <row r="37" spans="1:5" hidden="1" x14ac:dyDescent="0.2">
      <c r="A37">
        <v>400279622</v>
      </c>
      <c r="B37">
        <v>400275502</v>
      </c>
      <c r="C37" t="s">
        <v>152</v>
      </c>
      <c r="D37" t="s">
        <v>795</v>
      </c>
      <c r="E37" t="s">
        <v>151</v>
      </c>
    </row>
    <row r="38" spans="1:5" hidden="1" x14ac:dyDescent="0.2">
      <c r="A38">
        <v>401481543</v>
      </c>
      <c r="B38">
        <v>400275502</v>
      </c>
      <c r="C38" t="s">
        <v>152</v>
      </c>
      <c r="D38" t="s">
        <v>151</v>
      </c>
      <c r="E38" t="s">
        <v>24</v>
      </c>
    </row>
    <row r="39" spans="1:5" hidden="1" x14ac:dyDescent="0.2">
      <c r="A39">
        <v>411170082</v>
      </c>
      <c r="B39">
        <v>400275502</v>
      </c>
      <c r="C39" t="s">
        <v>152</v>
      </c>
      <c r="D39" t="s">
        <v>796</v>
      </c>
      <c r="E39" t="s">
        <v>151</v>
      </c>
    </row>
    <row r="40" spans="1:5" hidden="1" x14ac:dyDescent="0.2">
      <c r="A40" t="s">
        <v>797</v>
      </c>
      <c r="B40">
        <v>400275502</v>
      </c>
      <c r="C40" t="s">
        <v>798</v>
      </c>
      <c r="D40" t="s">
        <v>799</v>
      </c>
      <c r="E40" t="s">
        <v>151</v>
      </c>
    </row>
    <row r="41" spans="1:5" hidden="1" x14ac:dyDescent="0.2">
      <c r="A41">
        <v>400292466</v>
      </c>
      <c r="B41">
        <v>400275509</v>
      </c>
      <c r="C41" t="s">
        <v>154</v>
      </c>
      <c r="D41" t="s">
        <v>800</v>
      </c>
      <c r="E41" t="s">
        <v>153</v>
      </c>
    </row>
    <row r="42" spans="1:5" hidden="1" x14ac:dyDescent="0.2">
      <c r="A42">
        <v>405295603</v>
      </c>
      <c r="B42">
        <v>400275509</v>
      </c>
      <c r="C42" t="s">
        <v>154</v>
      </c>
      <c r="D42" t="s">
        <v>153</v>
      </c>
      <c r="E42" t="s">
        <v>24</v>
      </c>
    </row>
    <row r="43" spans="1:5" hidden="1" x14ac:dyDescent="0.2">
      <c r="A43">
        <v>411170084</v>
      </c>
      <c r="B43">
        <v>400275509</v>
      </c>
      <c r="C43" t="s">
        <v>154</v>
      </c>
      <c r="D43" t="s">
        <v>801</v>
      </c>
      <c r="E43" t="s">
        <v>153</v>
      </c>
    </row>
    <row r="44" spans="1:5" hidden="1" x14ac:dyDescent="0.2">
      <c r="A44">
        <v>417221868</v>
      </c>
      <c r="B44">
        <v>400275509</v>
      </c>
      <c r="C44" t="s">
        <v>154</v>
      </c>
      <c r="D44" t="s">
        <v>802</v>
      </c>
      <c r="E44" t="s">
        <v>153</v>
      </c>
    </row>
    <row r="45" spans="1:5" hidden="1" x14ac:dyDescent="0.2">
      <c r="A45" t="s">
        <v>803</v>
      </c>
      <c r="B45">
        <v>400275509</v>
      </c>
      <c r="C45" t="s">
        <v>804</v>
      </c>
      <c r="D45" t="s">
        <v>805</v>
      </c>
      <c r="E45" t="s">
        <v>153</v>
      </c>
    </row>
    <row r="46" spans="1:5" hidden="1" x14ac:dyDescent="0.2">
      <c r="A46" t="s">
        <v>806</v>
      </c>
      <c r="B46">
        <v>400275509</v>
      </c>
      <c r="C46" t="s">
        <v>804</v>
      </c>
      <c r="D46" t="s">
        <v>807</v>
      </c>
      <c r="E46" t="s">
        <v>153</v>
      </c>
    </row>
    <row r="47" spans="1:5" hidden="1" x14ac:dyDescent="0.2">
      <c r="A47">
        <v>400271632</v>
      </c>
      <c r="B47">
        <v>400275523</v>
      </c>
      <c r="C47" t="s">
        <v>156</v>
      </c>
      <c r="D47" t="s">
        <v>808</v>
      </c>
      <c r="E47" t="s">
        <v>155</v>
      </c>
    </row>
    <row r="48" spans="1:5" hidden="1" x14ac:dyDescent="0.2">
      <c r="A48">
        <v>401053359</v>
      </c>
      <c r="B48">
        <v>400275523</v>
      </c>
      <c r="C48" t="s">
        <v>156</v>
      </c>
      <c r="D48" t="s">
        <v>155</v>
      </c>
      <c r="E48" t="s">
        <v>24</v>
      </c>
    </row>
    <row r="49" spans="1:5" hidden="1" x14ac:dyDescent="0.2">
      <c r="A49">
        <v>411170095</v>
      </c>
      <c r="B49">
        <v>400275523</v>
      </c>
      <c r="C49" t="s">
        <v>156</v>
      </c>
      <c r="D49" t="s">
        <v>809</v>
      </c>
      <c r="E49" t="s">
        <v>155</v>
      </c>
    </row>
    <row r="50" spans="1:5" hidden="1" x14ac:dyDescent="0.2">
      <c r="A50">
        <v>413658097</v>
      </c>
      <c r="B50">
        <v>400275523</v>
      </c>
      <c r="C50" t="s">
        <v>810</v>
      </c>
      <c r="D50" t="s">
        <v>811</v>
      </c>
      <c r="E50" t="s">
        <v>155</v>
      </c>
    </row>
    <row r="51" spans="1:5" hidden="1" x14ac:dyDescent="0.2">
      <c r="A51" t="s">
        <v>812</v>
      </c>
      <c r="B51">
        <v>400275523</v>
      </c>
      <c r="C51" t="s">
        <v>813</v>
      </c>
      <c r="D51" t="s">
        <v>814</v>
      </c>
      <c r="E51" t="s">
        <v>155</v>
      </c>
    </row>
    <row r="52" spans="1:5" hidden="1" x14ac:dyDescent="0.2">
      <c r="A52">
        <v>400326163</v>
      </c>
      <c r="B52">
        <v>400326573</v>
      </c>
      <c r="C52" t="s">
        <v>111</v>
      </c>
      <c r="D52" t="s">
        <v>815</v>
      </c>
      <c r="E52" t="s">
        <v>110</v>
      </c>
    </row>
    <row r="53" spans="1:5" hidden="1" x14ac:dyDescent="0.2">
      <c r="A53">
        <v>400537079</v>
      </c>
      <c r="B53">
        <v>400326573</v>
      </c>
      <c r="C53" t="s">
        <v>111</v>
      </c>
      <c r="D53" t="s">
        <v>816</v>
      </c>
      <c r="E53" t="s">
        <v>110</v>
      </c>
    </row>
    <row r="54" spans="1:5" hidden="1" x14ac:dyDescent="0.2">
      <c r="A54">
        <v>400824251</v>
      </c>
      <c r="B54">
        <v>400326573</v>
      </c>
      <c r="C54" t="s">
        <v>111</v>
      </c>
      <c r="D54" t="s">
        <v>817</v>
      </c>
      <c r="E54" t="s">
        <v>110</v>
      </c>
    </row>
    <row r="55" spans="1:5" hidden="1" x14ac:dyDescent="0.2">
      <c r="A55">
        <v>401172747</v>
      </c>
      <c r="B55">
        <v>400326573</v>
      </c>
      <c r="C55" t="s">
        <v>111</v>
      </c>
      <c r="D55" t="s">
        <v>110</v>
      </c>
      <c r="E55" t="s">
        <v>24</v>
      </c>
    </row>
    <row r="56" spans="1:5" hidden="1" x14ac:dyDescent="0.2">
      <c r="A56">
        <v>417103902</v>
      </c>
      <c r="B56">
        <v>400326573</v>
      </c>
      <c r="C56" t="s">
        <v>111</v>
      </c>
      <c r="D56" t="s">
        <v>818</v>
      </c>
      <c r="E56" t="s">
        <v>110</v>
      </c>
    </row>
    <row r="57" spans="1:5" hidden="1" x14ac:dyDescent="0.2">
      <c r="A57">
        <v>417274835</v>
      </c>
      <c r="B57">
        <v>400326573</v>
      </c>
      <c r="C57" t="s">
        <v>111</v>
      </c>
      <c r="D57" t="s">
        <v>819</v>
      </c>
      <c r="E57" t="s">
        <v>110</v>
      </c>
    </row>
    <row r="58" spans="1:5" hidden="1" x14ac:dyDescent="0.2">
      <c r="A58">
        <v>417274837</v>
      </c>
      <c r="B58">
        <v>400326573</v>
      </c>
      <c r="C58" t="s">
        <v>111</v>
      </c>
      <c r="D58" t="s">
        <v>820</v>
      </c>
      <c r="E58" t="s">
        <v>110</v>
      </c>
    </row>
    <row r="59" spans="1:5" hidden="1" x14ac:dyDescent="0.2">
      <c r="A59">
        <v>417350133</v>
      </c>
      <c r="B59">
        <v>400326573</v>
      </c>
      <c r="C59" t="s">
        <v>111</v>
      </c>
      <c r="D59" t="s">
        <v>821</v>
      </c>
      <c r="E59" t="s">
        <v>110</v>
      </c>
    </row>
    <row r="60" spans="1:5" hidden="1" x14ac:dyDescent="0.2">
      <c r="A60" t="s">
        <v>822</v>
      </c>
      <c r="B60">
        <v>400326573</v>
      </c>
      <c r="C60" t="s">
        <v>823</v>
      </c>
      <c r="D60" t="s">
        <v>824</v>
      </c>
      <c r="E60" t="s">
        <v>110</v>
      </c>
    </row>
    <row r="61" spans="1:5" hidden="1" x14ac:dyDescent="0.2">
      <c r="A61">
        <v>400326162</v>
      </c>
      <c r="B61">
        <v>400326574</v>
      </c>
      <c r="C61" t="s">
        <v>825</v>
      </c>
      <c r="D61" t="s">
        <v>826</v>
      </c>
      <c r="E61" t="s">
        <v>113</v>
      </c>
    </row>
    <row r="62" spans="1:5" hidden="1" x14ac:dyDescent="0.2">
      <c r="A62">
        <v>400536577</v>
      </c>
      <c r="B62">
        <v>400326574</v>
      </c>
      <c r="C62" t="s">
        <v>825</v>
      </c>
      <c r="D62" t="s">
        <v>113</v>
      </c>
      <c r="E62" t="s">
        <v>24</v>
      </c>
    </row>
    <row r="63" spans="1:5" hidden="1" x14ac:dyDescent="0.2">
      <c r="A63">
        <v>416022258</v>
      </c>
      <c r="B63">
        <v>400326574</v>
      </c>
      <c r="C63" t="s">
        <v>825</v>
      </c>
      <c r="D63" t="s">
        <v>827</v>
      </c>
      <c r="E63" t="s">
        <v>113</v>
      </c>
    </row>
    <row r="64" spans="1:5" hidden="1" x14ac:dyDescent="0.2">
      <c r="A64">
        <v>417103903</v>
      </c>
      <c r="B64">
        <v>400326574</v>
      </c>
      <c r="C64" t="s">
        <v>825</v>
      </c>
      <c r="D64" t="s">
        <v>828</v>
      </c>
      <c r="E64" t="s">
        <v>113</v>
      </c>
    </row>
    <row r="65" spans="1:5" hidden="1" x14ac:dyDescent="0.2">
      <c r="A65">
        <v>417350134</v>
      </c>
      <c r="B65">
        <v>400326574</v>
      </c>
      <c r="C65" t="s">
        <v>825</v>
      </c>
      <c r="D65" t="s">
        <v>829</v>
      </c>
      <c r="E65" t="s">
        <v>113</v>
      </c>
    </row>
    <row r="66" spans="1:5" hidden="1" x14ac:dyDescent="0.2">
      <c r="A66" t="s">
        <v>830</v>
      </c>
      <c r="B66">
        <v>400326574</v>
      </c>
      <c r="C66" t="s">
        <v>831</v>
      </c>
      <c r="D66" t="s">
        <v>832</v>
      </c>
      <c r="E66" t="s">
        <v>113</v>
      </c>
    </row>
    <row r="67" spans="1:5" hidden="1" x14ac:dyDescent="0.2">
      <c r="A67" t="s">
        <v>833</v>
      </c>
      <c r="B67">
        <v>400326574</v>
      </c>
      <c r="C67" t="s">
        <v>834</v>
      </c>
      <c r="D67" t="s">
        <v>835</v>
      </c>
      <c r="E67" t="s">
        <v>113</v>
      </c>
    </row>
    <row r="68" spans="1:5" hidden="1" x14ac:dyDescent="0.2">
      <c r="A68">
        <v>400270501</v>
      </c>
      <c r="B68">
        <v>400326577</v>
      </c>
      <c r="C68" t="s">
        <v>836</v>
      </c>
      <c r="D68" t="s">
        <v>837</v>
      </c>
      <c r="E68" t="s">
        <v>114</v>
      </c>
    </row>
    <row r="69" spans="1:5" hidden="1" x14ac:dyDescent="0.2">
      <c r="A69">
        <v>400302724</v>
      </c>
      <c r="B69">
        <v>400326577</v>
      </c>
      <c r="C69" t="s">
        <v>836</v>
      </c>
      <c r="D69" t="s">
        <v>838</v>
      </c>
      <c r="E69" t="s">
        <v>114</v>
      </c>
    </row>
    <row r="70" spans="1:5" hidden="1" x14ac:dyDescent="0.2">
      <c r="A70">
        <v>400515201</v>
      </c>
      <c r="B70">
        <v>400326577</v>
      </c>
      <c r="C70" t="s">
        <v>115</v>
      </c>
      <c r="D70" t="s">
        <v>839</v>
      </c>
      <c r="E70" t="s">
        <v>114</v>
      </c>
    </row>
    <row r="71" spans="1:5" hidden="1" x14ac:dyDescent="0.2">
      <c r="A71">
        <v>400604072</v>
      </c>
      <c r="B71">
        <v>400326577</v>
      </c>
      <c r="C71" t="s">
        <v>840</v>
      </c>
      <c r="D71" t="s">
        <v>841</v>
      </c>
      <c r="E71" t="s">
        <v>114</v>
      </c>
    </row>
    <row r="72" spans="1:5" hidden="1" x14ac:dyDescent="0.2">
      <c r="A72">
        <v>400984937</v>
      </c>
      <c r="B72">
        <v>400326577</v>
      </c>
      <c r="C72" t="s">
        <v>115</v>
      </c>
      <c r="D72" t="s">
        <v>114</v>
      </c>
      <c r="E72" t="s">
        <v>24</v>
      </c>
    </row>
    <row r="73" spans="1:5" hidden="1" x14ac:dyDescent="0.2">
      <c r="A73">
        <v>417103904</v>
      </c>
      <c r="B73">
        <v>400326577</v>
      </c>
      <c r="C73" t="s">
        <v>115</v>
      </c>
      <c r="D73" t="s">
        <v>842</v>
      </c>
      <c r="E73" t="s">
        <v>114</v>
      </c>
    </row>
    <row r="74" spans="1:5" hidden="1" x14ac:dyDescent="0.2">
      <c r="A74">
        <v>417350115</v>
      </c>
      <c r="B74">
        <v>400326577</v>
      </c>
      <c r="C74" t="s">
        <v>115</v>
      </c>
      <c r="D74" t="s">
        <v>843</v>
      </c>
      <c r="E74" t="s">
        <v>114</v>
      </c>
    </row>
    <row r="75" spans="1:5" hidden="1" x14ac:dyDescent="0.2">
      <c r="A75">
        <v>417350135</v>
      </c>
      <c r="B75">
        <v>400326577</v>
      </c>
      <c r="C75" t="s">
        <v>115</v>
      </c>
      <c r="D75" t="s">
        <v>844</v>
      </c>
      <c r="E75" t="s">
        <v>114</v>
      </c>
    </row>
    <row r="76" spans="1:5" hidden="1" x14ac:dyDescent="0.2">
      <c r="A76">
        <v>417508737</v>
      </c>
      <c r="B76">
        <v>400326577</v>
      </c>
      <c r="C76" t="s">
        <v>115</v>
      </c>
      <c r="D76" t="s">
        <v>845</v>
      </c>
      <c r="E76" t="s">
        <v>114</v>
      </c>
    </row>
    <row r="77" spans="1:5" hidden="1" x14ac:dyDescent="0.2">
      <c r="A77" t="s">
        <v>846</v>
      </c>
      <c r="B77">
        <v>400326577</v>
      </c>
      <c r="C77" t="s">
        <v>847</v>
      </c>
      <c r="D77" t="s">
        <v>848</v>
      </c>
      <c r="E77" t="s">
        <v>114</v>
      </c>
    </row>
    <row r="78" spans="1:5" hidden="1" x14ac:dyDescent="0.2">
      <c r="A78">
        <v>400097800</v>
      </c>
      <c r="B78">
        <v>400326580</v>
      </c>
      <c r="C78" t="s">
        <v>849</v>
      </c>
      <c r="D78" t="s">
        <v>850</v>
      </c>
      <c r="E78" t="s">
        <v>116</v>
      </c>
    </row>
    <row r="79" spans="1:5" hidden="1" x14ac:dyDescent="0.2">
      <c r="A79">
        <v>400270706</v>
      </c>
      <c r="B79">
        <v>400326580</v>
      </c>
      <c r="C79" t="s">
        <v>851</v>
      </c>
      <c r="D79" t="s">
        <v>852</v>
      </c>
      <c r="E79" t="s">
        <v>116</v>
      </c>
    </row>
    <row r="80" spans="1:5" hidden="1" x14ac:dyDescent="0.2">
      <c r="A80">
        <v>400302723</v>
      </c>
      <c r="B80">
        <v>400326580</v>
      </c>
      <c r="C80" t="s">
        <v>851</v>
      </c>
      <c r="D80" t="s">
        <v>853</v>
      </c>
      <c r="E80" t="s">
        <v>116</v>
      </c>
    </row>
    <row r="81" spans="1:5" hidden="1" x14ac:dyDescent="0.2">
      <c r="A81">
        <v>400538373</v>
      </c>
      <c r="B81">
        <v>400326580</v>
      </c>
      <c r="C81" t="s">
        <v>851</v>
      </c>
      <c r="D81" t="s">
        <v>854</v>
      </c>
      <c r="E81" t="s">
        <v>116</v>
      </c>
    </row>
    <row r="82" spans="1:5" hidden="1" x14ac:dyDescent="0.2">
      <c r="A82">
        <v>400630378</v>
      </c>
      <c r="B82">
        <v>400326580</v>
      </c>
      <c r="C82" t="s">
        <v>851</v>
      </c>
      <c r="D82" t="s">
        <v>855</v>
      </c>
      <c r="E82" t="s">
        <v>116</v>
      </c>
    </row>
    <row r="83" spans="1:5" hidden="1" x14ac:dyDescent="0.2">
      <c r="A83">
        <v>401246012</v>
      </c>
      <c r="B83">
        <v>400326580</v>
      </c>
      <c r="C83" t="s">
        <v>851</v>
      </c>
      <c r="D83" t="s">
        <v>116</v>
      </c>
      <c r="E83" t="s">
        <v>24</v>
      </c>
    </row>
    <row r="84" spans="1:5" hidden="1" x14ac:dyDescent="0.2">
      <c r="A84">
        <v>404795320</v>
      </c>
      <c r="B84">
        <v>400326580</v>
      </c>
      <c r="C84" t="s">
        <v>851</v>
      </c>
      <c r="D84" t="s">
        <v>856</v>
      </c>
      <c r="E84" t="s">
        <v>116</v>
      </c>
    </row>
    <row r="85" spans="1:5" hidden="1" x14ac:dyDescent="0.2">
      <c r="A85">
        <v>414572347</v>
      </c>
      <c r="B85">
        <v>400326580</v>
      </c>
      <c r="C85" t="s">
        <v>851</v>
      </c>
      <c r="D85" t="s">
        <v>857</v>
      </c>
      <c r="E85" t="s">
        <v>116</v>
      </c>
    </row>
    <row r="86" spans="1:5" hidden="1" x14ac:dyDescent="0.2">
      <c r="A86">
        <v>417103905</v>
      </c>
      <c r="B86">
        <v>400326580</v>
      </c>
      <c r="C86" t="s">
        <v>851</v>
      </c>
      <c r="D86" t="s">
        <v>858</v>
      </c>
      <c r="E86" t="s">
        <v>116</v>
      </c>
    </row>
    <row r="87" spans="1:5" hidden="1" x14ac:dyDescent="0.2">
      <c r="A87">
        <v>417350116</v>
      </c>
      <c r="B87">
        <v>400326580</v>
      </c>
      <c r="C87" t="s">
        <v>851</v>
      </c>
      <c r="D87" t="s">
        <v>859</v>
      </c>
      <c r="E87" t="s">
        <v>116</v>
      </c>
    </row>
    <row r="88" spans="1:5" hidden="1" x14ac:dyDescent="0.2">
      <c r="A88">
        <v>417350136</v>
      </c>
      <c r="B88">
        <v>400326580</v>
      </c>
      <c r="C88" t="s">
        <v>851</v>
      </c>
      <c r="D88" t="s">
        <v>860</v>
      </c>
      <c r="E88" t="s">
        <v>116</v>
      </c>
    </row>
    <row r="89" spans="1:5" hidden="1" x14ac:dyDescent="0.2">
      <c r="A89" t="s">
        <v>861</v>
      </c>
      <c r="B89">
        <v>400326580</v>
      </c>
      <c r="C89" t="s">
        <v>862</v>
      </c>
      <c r="D89" t="s">
        <v>863</v>
      </c>
      <c r="E89" t="s">
        <v>116</v>
      </c>
    </row>
    <row r="90" spans="1:5" hidden="1" x14ac:dyDescent="0.2">
      <c r="A90">
        <v>400048692</v>
      </c>
      <c r="B90">
        <v>400326581</v>
      </c>
      <c r="C90" t="s">
        <v>864</v>
      </c>
      <c r="D90" t="s">
        <v>865</v>
      </c>
      <c r="E90" t="s">
        <v>252</v>
      </c>
    </row>
    <row r="91" spans="1:5" hidden="1" x14ac:dyDescent="0.2">
      <c r="A91">
        <v>400302725</v>
      </c>
      <c r="B91">
        <v>400326581</v>
      </c>
      <c r="C91" t="s">
        <v>610</v>
      </c>
      <c r="D91" t="s">
        <v>866</v>
      </c>
      <c r="E91" t="s">
        <v>252</v>
      </c>
    </row>
    <row r="92" spans="1:5" hidden="1" x14ac:dyDescent="0.2">
      <c r="A92">
        <v>400536575</v>
      </c>
      <c r="B92">
        <v>400326581</v>
      </c>
      <c r="C92" t="s">
        <v>610</v>
      </c>
      <c r="D92" t="s">
        <v>609</v>
      </c>
      <c r="E92" t="s">
        <v>252</v>
      </c>
    </row>
    <row r="93" spans="1:5" hidden="1" x14ac:dyDescent="0.2">
      <c r="A93">
        <v>400603894</v>
      </c>
      <c r="B93">
        <v>400326581</v>
      </c>
      <c r="C93" t="s">
        <v>610</v>
      </c>
      <c r="D93" t="s">
        <v>867</v>
      </c>
      <c r="E93" t="s">
        <v>252</v>
      </c>
    </row>
    <row r="94" spans="1:5" hidden="1" x14ac:dyDescent="0.2">
      <c r="A94">
        <v>401047158</v>
      </c>
      <c r="B94">
        <v>400326581</v>
      </c>
      <c r="C94" t="s">
        <v>610</v>
      </c>
      <c r="D94" t="s">
        <v>868</v>
      </c>
      <c r="E94" t="s">
        <v>252</v>
      </c>
    </row>
    <row r="95" spans="1:5" hidden="1" x14ac:dyDescent="0.2">
      <c r="A95">
        <v>415646833</v>
      </c>
      <c r="B95">
        <v>400326581</v>
      </c>
      <c r="C95" t="s">
        <v>610</v>
      </c>
      <c r="D95" t="s">
        <v>869</v>
      </c>
      <c r="E95" t="s">
        <v>252</v>
      </c>
    </row>
    <row r="96" spans="1:5" hidden="1" x14ac:dyDescent="0.2">
      <c r="A96">
        <v>415727389</v>
      </c>
      <c r="B96">
        <v>400326581</v>
      </c>
      <c r="C96" t="s">
        <v>870</v>
      </c>
      <c r="D96" t="s">
        <v>871</v>
      </c>
      <c r="E96" t="s">
        <v>252</v>
      </c>
    </row>
    <row r="97" spans="1:5" hidden="1" x14ac:dyDescent="0.2">
      <c r="A97">
        <v>416807313</v>
      </c>
      <c r="B97">
        <v>400326581</v>
      </c>
      <c r="C97" t="s">
        <v>610</v>
      </c>
      <c r="D97" t="s">
        <v>872</v>
      </c>
      <c r="E97" t="s">
        <v>252</v>
      </c>
    </row>
    <row r="98" spans="1:5" hidden="1" x14ac:dyDescent="0.2">
      <c r="A98">
        <v>417049490</v>
      </c>
      <c r="B98">
        <v>400326581</v>
      </c>
      <c r="C98" t="s">
        <v>610</v>
      </c>
      <c r="D98" t="s">
        <v>252</v>
      </c>
      <c r="E98" t="s">
        <v>24</v>
      </c>
    </row>
    <row r="99" spans="1:5" hidden="1" x14ac:dyDescent="0.2">
      <c r="A99">
        <v>417103906</v>
      </c>
      <c r="B99">
        <v>400326581</v>
      </c>
      <c r="C99" t="s">
        <v>610</v>
      </c>
      <c r="D99" t="s">
        <v>873</v>
      </c>
      <c r="E99" t="s">
        <v>252</v>
      </c>
    </row>
    <row r="100" spans="1:5" hidden="1" x14ac:dyDescent="0.2">
      <c r="A100">
        <v>417983105</v>
      </c>
      <c r="B100">
        <v>400326581</v>
      </c>
      <c r="C100" t="s">
        <v>610</v>
      </c>
      <c r="D100" t="s">
        <v>874</v>
      </c>
      <c r="E100" t="s">
        <v>252</v>
      </c>
    </row>
    <row r="101" spans="1:5" hidden="1" x14ac:dyDescent="0.2">
      <c r="A101">
        <v>400305985</v>
      </c>
      <c r="B101">
        <v>400326598</v>
      </c>
      <c r="C101" t="s">
        <v>122</v>
      </c>
      <c r="D101" t="s">
        <v>875</v>
      </c>
      <c r="E101" t="s">
        <v>121</v>
      </c>
    </row>
    <row r="102" spans="1:5" hidden="1" x14ac:dyDescent="0.2">
      <c r="A102">
        <v>400538428</v>
      </c>
      <c r="B102">
        <v>400326598</v>
      </c>
      <c r="C102" t="s">
        <v>122</v>
      </c>
      <c r="D102" t="s">
        <v>121</v>
      </c>
      <c r="E102" t="s">
        <v>24</v>
      </c>
    </row>
    <row r="103" spans="1:5" hidden="1" x14ac:dyDescent="0.2">
      <c r="A103">
        <v>400611061</v>
      </c>
      <c r="B103">
        <v>400326598</v>
      </c>
      <c r="C103" t="s">
        <v>122</v>
      </c>
      <c r="D103" t="s">
        <v>876</v>
      </c>
      <c r="E103" t="s">
        <v>121</v>
      </c>
    </row>
    <row r="104" spans="1:5" hidden="1" x14ac:dyDescent="0.2">
      <c r="A104">
        <v>401172735</v>
      </c>
      <c r="B104">
        <v>400326598</v>
      </c>
      <c r="C104" t="s">
        <v>122</v>
      </c>
      <c r="D104" t="s">
        <v>877</v>
      </c>
      <c r="E104" t="s">
        <v>121</v>
      </c>
    </row>
    <row r="105" spans="1:5" hidden="1" x14ac:dyDescent="0.2">
      <c r="A105" t="s">
        <v>878</v>
      </c>
      <c r="B105">
        <v>400326598</v>
      </c>
      <c r="C105" t="s">
        <v>879</v>
      </c>
      <c r="D105" t="s">
        <v>880</v>
      </c>
      <c r="E105" t="s">
        <v>121</v>
      </c>
    </row>
    <row r="106" spans="1:5" hidden="1" x14ac:dyDescent="0.2">
      <c r="A106" t="s">
        <v>881</v>
      </c>
      <c r="B106">
        <v>400326598</v>
      </c>
      <c r="C106" t="s">
        <v>882</v>
      </c>
      <c r="D106" t="s">
        <v>883</v>
      </c>
      <c r="E106" t="s">
        <v>121</v>
      </c>
    </row>
    <row r="107" spans="1:5" hidden="1" x14ac:dyDescent="0.2">
      <c r="A107">
        <v>400006057</v>
      </c>
      <c r="B107">
        <v>400329170</v>
      </c>
      <c r="C107" t="s">
        <v>884</v>
      </c>
      <c r="D107" t="s">
        <v>885</v>
      </c>
      <c r="E107" t="s">
        <v>292</v>
      </c>
    </row>
    <row r="108" spans="1:5" hidden="1" x14ac:dyDescent="0.2">
      <c r="A108">
        <v>514301407</v>
      </c>
      <c r="B108">
        <v>400329170</v>
      </c>
      <c r="C108" t="s">
        <v>288</v>
      </c>
      <c r="D108" t="s">
        <v>292</v>
      </c>
      <c r="E108" t="s">
        <v>24</v>
      </c>
    </row>
    <row r="109" spans="1:5" hidden="1" x14ac:dyDescent="0.2">
      <c r="A109">
        <v>541580254</v>
      </c>
      <c r="B109">
        <v>400329170</v>
      </c>
      <c r="C109" t="s">
        <v>886</v>
      </c>
      <c r="D109" t="s">
        <v>887</v>
      </c>
      <c r="E109" t="s">
        <v>292</v>
      </c>
    </row>
    <row r="110" spans="1:5" hidden="1" x14ac:dyDescent="0.2">
      <c r="A110">
        <v>400073690</v>
      </c>
      <c r="B110">
        <v>400341489</v>
      </c>
      <c r="C110" t="s">
        <v>91</v>
      </c>
      <c r="D110" t="s">
        <v>888</v>
      </c>
      <c r="E110" t="s">
        <v>90</v>
      </c>
    </row>
    <row r="111" spans="1:5" hidden="1" x14ac:dyDescent="0.2">
      <c r="A111">
        <v>400284360</v>
      </c>
      <c r="B111">
        <v>400341489</v>
      </c>
      <c r="C111" t="s">
        <v>91</v>
      </c>
      <c r="D111" t="s">
        <v>889</v>
      </c>
      <c r="E111" t="s">
        <v>90</v>
      </c>
    </row>
    <row r="112" spans="1:5" hidden="1" x14ac:dyDescent="0.2">
      <c r="A112">
        <v>414905970</v>
      </c>
      <c r="B112">
        <v>400341489</v>
      </c>
      <c r="C112" t="s">
        <v>91</v>
      </c>
      <c r="D112" t="s">
        <v>890</v>
      </c>
      <c r="E112" t="s">
        <v>90</v>
      </c>
    </row>
    <row r="113" spans="1:5" hidden="1" x14ac:dyDescent="0.2">
      <c r="A113">
        <v>417983172</v>
      </c>
      <c r="B113">
        <v>400341489</v>
      </c>
      <c r="C113" t="s">
        <v>91</v>
      </c>
      <c r="D113" t="s">
        <v>90</v>
      </c>
      <c r="E113" t="s">
        <v>24</v>
      </c>
    </row>
    <row r="114" spans="1:5" hidden="1" x14ac:dyDescent="0.2">
      <c r="A114" t="s">
        <v>891</v>
      </c>
      <c r="B114">
        <v>400341489</v>
      </c>
      <c r="C114" t="s">
        <v>892</v>
      </c>
      <c r="D114" t="s">
        <v>893</v>
      </c>
      <c r="E114" t="s">
        <v>90</v>
      </c>
    </row>
    <row r="115" spans="1:5" hidden="1" x14ac:dyDescent="0.2">
      <c r="A115">
        <v>400306666</v>
      </c>
      <c r="B115">
        <v>400341542</v>
      </c>
      <c r="C115" t="s">
        <v>85</v>
      </c>
      <c r="D115" t="s">
        <v>894</v>
      </c>
      <c r="E115" t="s">
        <v>84</v>
      </c>
    </row>
    <row r="116" spans="1:5" hidden="1" x14ac:dyDescent="0.2">
      <c r="A116">
        <v>400341082</v>
      </c>
      <c r="B116">
        <v>400341542</v>
      </c>
      <c r="C116" t="s">
        <v>85</v>
      </c>
      <c r="D116" t="s">
        <v>895</v>
      </c>
      <c r="E116" t="s">
        <v>84</v>
      </c>
    </row>
    <row r="117" spans="1:5" hidden="1" x14ac:dyDescent="0.2">
      <c r="A117">
        <v>417983176</v>
      </c>
      <c r="B117">
        <v>400341542</v>
      </c>
      <c r="C117" t="s">
        <v>85</v>
      </c>
      <c r="D117" t="s">
        <v>84</v>
      </c>
      <c r="E117" t="s">
        <v>24</v>
      </c>
    </row>
    <row r="118" spans="1:5" hidden="1" x14ac:dyDescent="0.2">
      <c r="A118" t="s">
        <v>896</v>
      </c>
      <c r="B118">
        <v>400341542</v>
      </c>
      <c r="C118" t="s">
        <v>897</v>
      </c>
      <c r="D118" t="s">
        <v>898</v>
      </c>
      <c r="E118" t="s">
        <v>84</v>
      </c>
    </row>
    <row r="119" spans="1:5" hidden="1" x14ac:dyDescent="0.2">
      <c r="A119">
        <v>400072493</v>
      </c>
      <c r="B119">
        <v>400341717</v>
      </c>
      <c r="C119" t="s">
        <v>93</v>
      </c>
      <c r="D119" t="s">
        <v>899</v>
      </c>
      <c r="E119" t="s">
        <v>92</v>
      </c>
    </row>
    <row r="120" spans="1:5" hidden="1" x14ac:dyDescent="0.2">
      <c r="A120">
        <v>400345429</v>
      </c>
      <c r="B120">
        <v>400341717</v>
      </c>
      <c r="C120" t="s">
        <v>93</v>
      </c>
      <c r="D120" t="s">
        <v>900</v>
      </c>
      <c r="E120" t="s">
        <v>92</v>
      </c>
    </row>
    <row r="121" spans="1:5" hidden="1" x14ac:dyDescent="0.2">
      <c r="A121">
        <v>417531784</v>
      </c>
      <c r="B121">
        <v>400341717</v>
      </c>
      <c r="C121" t="s">
        <v>93</v>
      </c>
      <c r="D121" t="s">
        <v>92</v>
      </c>
      <c r="E121" t="s">
        <v>24</v>
      </c>
    </row>
    <row r="122" spans="1:5" hidden="1" x14ac:dyDescent="0.2">
      <c r="A122" t="s">
        <v>901</v>
      </c>
      <c r="B122">
        <v>400341717</v>
      </c>
      <c r="C122" t="s">
        <v>902</v>
      </c>
      <c r="D122" t="s">
        <v>903</v>
      </c>
      <c r="E122" t="s">
        <v>92</v>
      </c>
    </row>
    <row r="123" spans="1:5" hidden="1" x14ac:dyDescent="0.2">
      <c r="A123">
        <v>400196771</v>
      </c>
      <c r="B123">
        <v>400481181</v>
      </c>
      <c r="C123" t="s">
        <v>133</v>
      </c>
      <c r="D123" t="s">
        <v>904</v>
      </c>
      <c r="E123" t="s">
        <v>132</v>
      </c>
    </row>
    <row r="124" spans="1:5" hidden="1" x14ac:dyDescent="0.2">
      <c r="A124">
        <v>400302726</v>
      </c>
      <c r="B124">
        <v>400481181</v>
      </c>
      <c r="C124" t="s">
        <v>133</v>
      </c>
      <c r="D124" t="s">
        <v>905</v>
      </c>
      <c r="E124" t="s">
        <v>132</v>
      </c>
    </row>
    <row r="125" spans="1:5" hidden="1" x14ac:dyDescent="0.2">
      <c r="A125">
        <v>400538371</v>
      </c>
      <c r="B125">
        <v>400481181</v>
      </c>
      <c r="C125" t="s">
        <v>133</v>
      </c>
      <c r="D125" t="s">
        <v>906</v>
      </c>
      <c r="E125" t="s">
        <v>132</v>
      </c>
    </row>
    <row r="126" spans="1:5" hidden="1" x14ac:dyDescent="0.2">
      <c r="A126">
        <v>400607520</v>
      </c>
      <c r="B126">
        <v>400481181</v>
      </c>
      <c r="C126" t="s">
        <v>133</v>
      </c>
      <c r="D126" t="s">
        <v>907</v>
      </c>
      <c r="E126" t="s">
        <v>132</v>
      </c>
    </row>
    <row r="127" spans="1:5" hidden="1" x14ac:dyDescent="0.2">
      <c r="A127">
        <v>401225088</v>
      </c>
      <c r="B127">
        <v>400481181</v>
      </c>
      <c r="C127" t="s">
        <v>133</v>
      </c>
      <c r="D127" t="s">
        <v>908</v>
      </c>
      <c r="E127" t="s">
        <v>132</v>
      </c>
    </row>
    <row r="128" spans="1:5" hidden="1" x14ac:dyDescent="0.2">
      <c r="A128">
        <v>409507750</v>
      </c>
      <c r="B128">
        <v>400481181</v>
      </c>
      <c r="C128" t="s">
        <v>133</v>
      </c>
      <c r="D128" t="s">
        <v>909</v>
      </c>
      <c r="E128" t="s">
        <v>132</v>
      </c>
    </row>
    <row r="129" spans="1:5" hidden="1" x14ac:dyDescent="0.2">
      <c r="A129">
        <v>417983106</v>
      </c>
      <c r="B129">
        <v>400481181</v>
      </c>
      <c r="C129" t="s">
        <v>133</v>
      </c>
      <c r="D129" t="s">
        <v>132</v>
      </c>
      <c r="E129" t="s">
        <v>24</v>
      </c>
    </row>
    <row r="130" spans="1:5" hidden="1" x14ac:dyDescent="0.2">
      <c r="A130">
        <v>400042012</v>
      </c>
      <c r="B130">
        <v>400481196</v>
      </c>
      <c r="C130" t="s">
        <v>135</v>
      </c>
      <c r="D130" t="s">
        <v>910</v>
      </c>
      <c r="E130" t="s">
        <v>134</v>
      </c>
    </row>
    <row r="131" spans="1:5" hidden="1" x14ac:dyDescent="0.2">
      <c r="A131">
        <v>400465421</v>
      </c>
      <c r="B131">
        <v>400481196</v>
      </c>
      <c r="C131" t="s">
        <v>135</v>
      </c>
      <c r="D131" t="s">
        <v>911</v>
      </c>
      <c r="E131" t="s">
        <v>134</v>
      </c>
    </row>
    <row r="132" spans="1:5" hidden="1" x14ac:dyDescent="0.2">
      <c r="A132">
        <v>400950616</v>
      </c>
      <c r="B132">
        <v>400481196</v>
      </c>
      <c r="C132" t="s">
        <v>135</v>
      </c>
      <c r="D132" t="s">
        <v>912</v>
      </c>
      <c r="E132" t="s">
        <v>134</v>
      </c>
    </row>
    <row r="133" spans="1:5" hidden="1" x14ac:dyDescent="0.2">
      <c r="A133">
        <v>417983107</v>
      </c>
      <c r="B133">
        <v>400481196</v>
      </c>
      <c r="C133" t="s">
        <v>135</v>
      </c>
      <c r="D133" t="s">
        <v>134</v>
      </c>
      <c r="E133" t="s">
        <v>24</v>
      </c>
    </row>
    <row r="134" spans="1:5" hidden="1" x14ac:dyDescent="0.2">
      <c r="A134">
        <v>400465031</v>
      </c>
      <c r="B134">
        <v>400481203</v>
      </c>
      <c r="C134" t="s">
        <v>913</v>
      </c>
      <c r="D134" t="s">
        <v>914</v>
      </c>
      <c r="E134" t="s">
        <v>253</v>
      </c>
    </row>
    <row r="135" spans="1:5" hidden="1" x14ac:dyDescent="0.2">
      <c r="A135">
        <v>400664908</v>
      </c>
      <c r="B135">
        <v>400481203</v>
      </c>
      <c r="C135" t="s">
        <v>913</v>
      </c>
      <c r="D135" t="s">
        <v>915</v>
      </c>
      <c r="E135" t="s">
        <v>253</v>
      </c>
    </row>
    <row r="136" spans="1:5" hidden="1" x14ac:dyDescent="0.2">
      <c r="A136">
        <v>400950646</v>
      </c>
      <c r="B136">
        <v>400481203</v>
      </c>
      <c r="C136" t="s">
        <v>913</v>
      </c>
      <c r="D136" t="s">
        <v>916</v>
      </c>
      <c r="E136" t="s">
        <v>253</v>
      </c>
    </row>
    <row r="137" spans="1:5" hidden="1" x14ac:dyDescent="0.2">
      <c r="A137">
        <v>401256620</v>
      </c>
      <c r="B137">
        <v>400481203</v>
      </c>
      <c r="C137" t="s">
        <v>913</v>
      </c>
      <c r="D137" t="s">
        <v>917</v>
      </c>
      <c r="E137" t="s">
        <v>253</v>
      </c>
    </row>
    <row r="138" spans="1:5" hidden="1" x14ac:dyDescent="0.2">
      <c r="A138">
        <v>402231969</v>
      </c>
      <c r="B138">
        <v>400481203</v>
      </c>
      <c r="C138" t="s">
        <v>913</v>
      </c>
      <c r="D138" t="s">
        <v>253</v>
      </c>
      <c r="E138" t="s">
        <v>24</v>
      </c>
    </row>
    <row r="139" spans="1:5" hidden="1" x14ac:dyDescent="0.2">
      <c r="A139">
        <v>400035595</v>
      </c>
      <c r="B139">
        <v>400481213</v>
      </c>
      <c r="C139" t="s">
        <v>918</v>
      </c>
      <c r="D139" t="s">
        <v>919</v>
      </c>
      <c r="E139" t="s">
        <v>136</v>
      </c>
    </row>
    <row r="140" spans="1:5" hidden="1" x14ac:dyDescent="0.2">
      <c r="A140">
        <v>400210358</v>
      </c>
      <c r="B140">
        <v>400481213</v>
      </c>
      <c r="C140" t="s">
        <v>918</v>
      </c>
      <c r="D140" t="s">
        <v>920</v>
      </c>
      <c r="E140" t="s">
        <v>136</v>
      </c>
    </row>
    <row r="141" spans="1:5" hidden="1" x14ac:dyDescent="0.2">
      <c r="A141">
        <v>400464397</v>
      </c>
      <c r="B141">
        <v>400481213</v>
      </c>
      <c r="C141" t="s">
        <v>918</v>
      </c>
      <c r="D141" t="s">
        <v>921</v>
      </c>
      <c r="E141" t="s">
        <v>136</v>
      </c>
    </row>
    <row r="142" spans="1:5" hidden="1" x14ac:dyDescent="0.2">
      <c r="A142">
        <v>416881473</v>
      </c>
      <c r="B142">
        <v>400481213</v>
      </c>
      <c r="C142" t="s">
        <v>922</v>
      </c>
      <c r="D142" t="s">
        <v>923</v>
      </c>
      <c r="E142" t="s">
        <v>136</v>
      </c>
    </row>
    <row r="143" spans="1:5" hidden="1" x14ac:dyDescent="0.2">
      <c r="A143">
        <v>417221844</v>
      </c>
      <c r="B143">
        <v>400481213</v>
      </c>
      <c r="C143" t="s">
        <v>918</v>
      </c>
      <c r="D143" t="s">
        <v>924</v>
      </c>
      <c r="E143" t="s">
        <v>136</v>
      </c>
    </row>
    <row r="144" spans="1:5" hidden="1" x14ac:dyDescent="0.2">
      <c r="A144">
        <v>417983111</v>
      </c>
      <c r="B144">
        <v>400481213</v>
      </c>
      <c r="C144" t="s">
        <v>918</v>
      </c>
      <c r="D144" t="s">
        <v>136</v>
      </c>
      <c r="E144" t="s">
        <v>24</v>
      </c>
    </row>
    <row r="145" spans="1:5" hidden="1" x14ac:dyDescent="0.2">
      <c r="A145">
        <v>400033864</v>
      </c>
      <c r="B145">
        <v>400481229</v>
      </c>
      <c r="C145" t="s">
        <v>120</v>
      </c>
      <c r="D145" t="s">
        <v>925</v>
      </c>
      <c r="E145" t="s">
        <v>119</v>
      </c>
    </row>
    <row r="146" spans="1:5" hidden="1" x14ac:dyDescent="0.2">
      <c r="A146">
        <v>400033868</v>
      </c>
      <c r="B146">
        <v>400481229</v>
      </c>
      <c r="C146" t="s">
        <v>120</v>
      </c>
      <c r="D146" t="s">
        <v>926</v>
      </c>
      <c r="E146" t="s">
        <v>119</v>
      </c>
    </row>
    <row r="147" spans="1:5" hidden="1" x14ac:dyDescent="0.2">
      <c r="A147">
        <v>400302916</v>
      </c>
      <c r="B147">
        <v>400481229</v>
      </c>
      <c r="C147" t="s">
        <v>120</v>
      </c>
      <c r="D147" t="s">
        <v>927</v>
      </c>
      <c r="E147" t="s">
        <v>119</v>
      </c>
    </row>
    <row r="148" spans="1:5" hidden="1" x14ac:dyDescent="0.2">
      <c r="A148">
        <v>400539548</v>
      </c>
      <c r="B148">
        <v>400481229</v>
      </c>
      <c r="C148" t="s">
        <v>928</v>
      </c>
      <c r="D148" t="s">
        <v>929</v>
      </c>
      <c r="E148" t="s">
        <v>119</v>
      </c>
    </row>
    <row r="149" spans="1:5" hidden="1" x14ac:dyDescent="0.2">
      <c r="A149">
        <v>400603892</v>
      </c>
      <c r="B149">
        <v>400481229</v>
      </c>
      <c r="C149" t="s">
        <v>120</v>
      </c>
      <c r="D149" t="s">
        <v>930</v>
      </c>
      <c r="E149" t="s">
        <v>119</v>
      </c>
    </row>
    <row r="150" spans="1:5" hidden="1" x14ac:dyDescent="0.2">
      <c r="A150">
        <v>400713754</v>
      </c>
      <c r="B150">
        <v>400481229</v>
      </c>
      <c r="C150" t="s">
        <v>120</v>
      </c>
      <c r="D150" t="s">
        <v>119</v>
      </c>
      <c r="E150" t="s">
        <v>24</v>
      </c>
    </row>
    <row r="151" spans="1:5" hidden="1" x14ac:dyDescent="0.2">
      <c r="A151">
        <v>401060222</v>
      </c>
      <c r="B151">
        <v>400481229</v>
      </c>
      <c r="C151" t="s">
        <v>931</v>
      </c>
      <c r="D151" t="s">
        <v>932</v>
      </c>
      <c r="E151" t="s">
        <v>119</v>
      </c>
    </row>
    <row r="152" spans="1:5" hidden="1" x14ac:dyDescent="0.2">
      <c r="A152">
        <v>412788093</v>
      </c>
      <c r="B152">
        <v>400481229</v>
      </c>
      <c r="C152" t="s">
        <v>120</v>
      </c>
      <c r="D152" t="s">
        <v>933</v>
      </c>
      <c r="E152" t="s">
        <v>119</v>
      </c>
    </row>
    <row r="153" spans="1:5" hidden="1" x14ac:dyDescent="0.2">
      <c r="A153">
        <v>414596423</v>
      </c>
      <c r="B153">
        <v>400481229</v>
      </c>
      <c r="C153" t="s">
        <v>928</v>
      </c>
      <c r="D153" t="s">
        <v>934</v>
      </c>
      <c r="E153" t="s">
        <v>119</v>
      </c>
    </row>
    <row r="154" spans="1:5" hidden="1" x14ac:dyDescent="0.2">
      <c r="A154">
        <v>414612604</v>
      </c>
      <c r="B154">
        <v>400481229</v>
      </c>
      <c r="C154" t="s">
        <v>928</v>
      </c>
      <c r="D154" t="s">
        <v>935</v>
      </c>
      <c r="E154" t="s">
        <v>119</v>
      </c>
    </row>
    <row r="155" spans="1:5" hidden="1" x14ac:dyDescent="0.2">
      <c r="A155">
        <v>416022312</v>
      </c>
      <c r="B155">
        <v>400481229</v>
      </c>
      <c r="C155" t="s">
        <v>928</v>
      </c>
      <c r="D155" t="s">
        <v>936</v>
      </c>
      <c r="E155" t="s">
        <v>119</v>
      </c>
    </row>
    <row r="156" spans="1:5" hidden="1" x14ac:dyDescent="0.2">
      <c r="A156">
        <v>416095923</v>
      </c>
      <c r="B156">
        <v>400481229</v>
      </c>
      <c r="C156" t="s">
        <v>120</v>
      </c>
      <c r="D156" t="s">
        <v>937</v>
      </c>
      <c r="E156" t="s">
        <v>119</v>
      </c>
    </row>
    <row r="157" spans="1:5" hidden="1" x14ac:dyDescent="0.2">
      <c r="A157">
        <v>416295985</v>
      </c>
      <c r="B157">
        <v>400481229</v>
      </c>
      <c r="C157" t="s">
        <v>928</v>
      </c>
      <c r="D157" t="s">
        <v>938</v>
      </c>
      <c r="E157" t="s">
        <v>119</v>
      </c>
    </row>
    <row r="158" spans="1:5" hidden="1" x14ac:dyDescent="0.2">
      <c r="A158">
        <v>417103910</v>
      </c>
      <c r="B158">
        <v>400481229</v>
      </c>
      <c r="C158" t="s">
        <v>120</v>
      </c>
      <c r="D158" t="s">
        <v>939</v>
      </c>
      <c r="E158" t="s">
        <v>119</v>
      </c>
    </row>
    <row r="159" spans="1:5" hidden="1" x14ac:dyDescent="0.2">
      <c r="A159">
        <v>417334974</v>
      </c>
      <c r="B159">
        <v>400481229</v>
      </c>
      <c r="C159" t="s">
        <v>120</v>
      </c>
      <c r="D159" t="s">
        <v>940</v>
      </c>
      <c r="E159" t="s">
        <v>119</v>
      </c>
    </row>
    <row r="160" spans="1:5" hidden="1" x14ac:dyDescent="0.2">
      <c r="A160">
        <v>417350120</v>
      </c>
      <c r="B160">
        <v>400481229</v>
      </c>
      <c r="C160" t="s">
        <v>120</v>
      </c>
      <c r="D160" t="s">
        <v>941</v>
      </c>
      <c r="E160" t="s">
        <v>119</v>
      </c>
    </row>
    <row r="161" spans="1:5" hidden="1" x14ac:dyDescent="0.2">
      <c r="A161">
        <v>400187850</v>
      </c>
      <c r="B161">
        <v>400481547</v>
      </c>
      <c r="C161" t="s">
        <v>942</v>
      </c>
      <c r="D161" t="s">
        <v>943</v>
      </c>
      <c r="E161" t="s">
        <v>254</v>
      </c>
    </row>
    <row r="162" spans="1:5" hidden="1" x14ac:dyDescent="0.2">
      <c r="A162">
        <v>403326394</v>
      </c>
      <c r="B162">
        <v>400481547</v>
      </c>
      <c r="C162" t="s">
        <v>255</v>
      </c>
      <c r="D162" t="s">
        <v>254</v>
      </c>
      <c r="E162" t="s">
        <v>24</v>
      </c>
    </row>
    <row r="163" spans="1:5" hidden="1" x14ac:dyDescent="0.2">
      <c r="A163" t="s">
        <v>944</v>
      </c>
      <c r="B163">
        <v>400481547</v>
      </c>
      <c r="C163" t="s">
        <v>945</v>
      </c>
      <c r="D163" t="s">
        <v>946</v>
      </c>
      <c r="E163" t="s">
        <v>254</v>
      </c>
    </row>
    <row r="164" spans="1:5" hidden="1" x14ac:dyDescent="0.2">
      <c r="A164">
        <v>400280614</v>
      </c>
      <c r="B164">
        <v>400481611</v>
      </c>
      <c r="C164" t="s">
        <v>277</v>
      </c>
      <c r="D164" t="s">
        <v>276</v>
      </c>
      <c r="E164" t="s">
        <v>24</v>
      </c>
    </row>
    <row r="165" spans="1:5" hidden="1" x14ac:dyDescent="0.2">
      <c r="A165">
        <v>413256946</v>
      </c>
      <c r="B165">
        <v>400481611</v>
      </c>
      <c r="C165" t="s">
        <v>277</v>
      </c>
      <c r="D165" t="s">
        <v>947</v>
      </c>
      <c r="E165" t="s">
        <v>276</v>
      </c>
    </row>
    <row r="166" spans="1:5" hidden="1" x14ac:dyDescent="0.2">
      <c r="A166" t="s">
        <v>948</v>
      </c>
      <c r="B166">
        <v>400481611</v>
      </c>
      <c r="C166" t="s">
        <v>949</v>
      </c>
      <c r="D166" t="s">
        <v>950</v>
      </c>
      <c r="E166" t="s">
        <v>276</v>
      </c>
    </row>
    <row r="167" spans="1:5" hidden="1" x14ac:dyDescent="0.2">
      <c r="A167">
        <v>400175303</v>
      </c>
      <c r="B167">
        <v>400481641</v>
      </c>
      <c r="C167" t="s">
        <v>626</v>
      </c>
      <c r="D167" t="s">
        <v>625</v>
      </c>
      <c r="E167" t="s">
        <v>951</v>
      </c>
    </row>
    <row r="168" spans="1:5" hidden="1" x14ac:dyDescent="0.2">
      <c r="A168">
        <v>401274354</v>
      </c>
      <c r="B168">
        <v>400481641</v>
      </c>
      <c r="C168" t="s">
        <v>626</v>
      </c>
      <c r="D168" t="s">
        <v>952</v>
      </c>
      <c r="E168" t="s">
        <v>951</v>
      </c>
    </row>
    <row r="169" spans="1:5" hidden="1" x14ac:dyDescent="0.2">
      <c r="A169">
        <v>401499257</v>
      </c>
      <c r="B169">
        <v>400481641</v>
      </c>
      <c r="C169" t="s">
        <v>953</v>
      </c>
      <c r="D169" t="s">
        <v>951</v>
      </c>
      <c r="E169" t="s">
        <v>24</v>
      </c>
    </row>
    <row r="170" spans="1:5" hidden="1" x14ac:dyDescent="0.2">
      <c r="A170" t="s">
        <v>954</v>
      </c>
      <c r="B170">
        <v>400481641</v>
      </c>
      <c r="C170" t="s">
        <v>955</v>
      </c>
      <c r="D170" t="s">
        <v>956</v>
      </c>
      <c r="E170" t="s">
        <v>951</v>
      </c>
    </row>
    <row r="171" spans="1:5" hidden="1" x14ac:dyDescent="0.2">
      <c r="A171">
        <v>400048227</v>
      </c>
      <c r="B171">
        <v>400508538</v>
      </c>
      <c r="C171" t="s">
        <v>343</v>
      </c>
      <c r="D171" t="s">
        <v>342</v>
      </c>
      <c r="E171" t="s">
        <v>24</v>
      </c>
    </row>
    <row r="172" spans="1:5" hidden="1" x14ac:dyDescent="0.2">
      <c r="A172" t="s">
        <v>957</v>
      </c>
      <c r="B172">
        <v>400508538</v>
      </c>
      <c r="C172" t="s">
        <v>958</v>
      </c>
      <c r="D172" t="s">
        <v>959</v>
      </c>
      <c r="E172" t="s">
        <v>342</v>
      </c>
    </row>
    <row r="173" spans="1:5" hidden="1" x14ac:dyDescent="0.2">
      <c r="A173">
        <v>400175306</v>
      </c>
      <c r="B173">
        <v>400510819</v>
      </c>
      <c r="C173" t="s">
        <v>630</v>
      </c>
      <c r="D173" t="s">
        <v>960</v>
      </c>
      <c r="E173" t="s">
        <v>961</v>
      </c>
    </row>
    <row r="174" spans="1:5" hidden="1" x14ac:dyDescent="0.2">
      <c r="A174">
        <v>401361571</v>
      </c>
      <c r="B174">
        <v>400510819</v>
      </c>
      <c r="C174" t="s">
        <v>962</v>
      </c>
      <c r="D174" t="s">
        <v>963</v>
      </c>
      <c r="E174" t="s">
        <v>961</v>
      </c>
    </row>
    <row r="175" spans="1:5" hidden="1" x14ac:dyDescent="0.2">
      <c r="A175">
        <v>401499258</v>
      </c>
      <c r="B175">
        <v>400510819</v>
      </c>
      <c r="C175" t="s">
        <v>964</v>
      </c>
      <c r="D175" t="s">
        <v>961</v>
      </c>
      <c r="E175" t="s">
        <v>24</v>
      </c>
    </row>
    <row r="176" spans="1:5" hidden="1" x14ac:dyDescent="0.2">
      <c r="A176">
        <v>401533602</v>
      </c>
      <c r="B176">
        <v>400510819</v>
      </c>
      <c r="C176" t="s">
        <v>630</v>
      </c>
      <c r="D176" t="s">
        <v>629</v>
      </c>
      <c r="E176" t="s">
        <v>961</v>
      </c>
    </row>
    <row r="177" spans="1:5" hidden="1" x14ac:dyDescent="0.2">
      <c r="A177" t="s">
        <v>965</v>
      </c>
      <c r="B177">
        <v>400510819</v>
      </c>
      <c r="C177" t="s">
        <v>962</v>
      </c>
      <c r="D177" t="s">
        <v>966</v>
      </c>
      <c r="E177" t="s">
        <v>961</v>
      </c>
    </row>
    <row r="178" spans="1:5" hidden="1" x14ac:dyDescent="0.2">
      <c r="A178">
        <v>400031517</v>
      </c>
      <c r="B178">
        <v>400510855</v>
      </c>
      <c r="C178" t="s">
        <v>967</v>
      </c>
      <c r="D178" t="s">
        <v>968</v>
      </c>
      <c r="E178" t="s">
        <v>240</v>
      </c>
    </row>
    <row r="179" spans="1:5" hidden="1" x14ac:dyDescent="0.2">
      <c r="A179">
        <v>400052375</v>
      </c>
      <c r="B179">
        <v>400510855</v>
      </c>
      <c r="C179" t="s">
        <v>241</v>
      </c>
      <c r="D179" t="s">
        <v>240</v>
      </c>
      <c r="E179" t="s">
        <v>24</v>
      </c>
    </row>
    <row r="180" spans="1:5" hidden="1" x14ac:dyDescent="0.2">
      <c r="A180" t="s">
        <v>969</v>
      </c>
      <c r="B180">
        <v>400510855</v>
      </c>
      <c r="C180" t="s">
        <v>970</v>
      </c>
      <c r="D180" t="s">
        <v>971</v>
      </c>
      <c r="E180" t="s">
        <v>240</v>
      </c>
    </row>
    <row r="181" spans="1:5" hidden="1" x14ac:dyDescent="0.2">
      <c r="A181">
        <v>400036194</v>
      </c>
      <c r="B181">
        <v>400525698</v>
      </c>
      <c r="C181" t="s">
        <v>972</v>
      </c>
      <c r="D181" t="s">
        <v>973</v>
      </c>
      <c r="E181" t="s">
        <v>688</v>
      </c>
    </row>
    <row r="182" spans="1:5" hidden="1" x14ac:dyDescent="0.2">
      <c r="A182">
        <v>400828408</v>
      </c>
      <c r="B182">
        <v>400525698</v>
      </c>
      <c r="C182" t="s">
        <v>689</v>
      </c>
      <c r="D182" t="s">
        <v>688</v>
      </c>
      <c r="E182" t="s">
        <v>24</v>
      </c>
    </row>
    <row r="183" spans="1:5" hidden="1" x14ac:dyDescent="0.2">
      <c r="A183">
        <v>407374949</v>
      </c>
      <c r="B183">
        <v>400525702</v>
      </c>
      <c r="C183" t="s">
        <v>320</v>
      </c>
      <c r="D183" t="s">
        <v>319</v>
      </c>
      <c r="E183" t="s">
        <v>24</v>
      </c>
    </row>
    <row r="184" spans="1:5" hidden="1" x14ac:dyDescent="0.2">
      <c r="A184" t="s">
        <v>974</v>
      </c>
      <c r="B184">
        <v>400525702</v>
      </c>
      <c r="C184" t="s">
        <v>975</v>
      </c>
      <c r="D184" t="s">
        <v>976</v>
      </c>
      <c r="E184" t="s">
        <v>319</v>
      </c>
    </row>
    <row r="185" spans="1:5" hidden="1" x14ac:dyDescent="0.2">
      <c r="A185" t="s">
        <v>977</v>
      </c>
      <c r="B185">
        <v>400525702</v>
      </c>
      <c r="C185" t="s">
        <v>320</v>
      </c>
      <c r="D185" t="s">
        <v>978</v>
      </c>
      <c r="E185" t="s">
        <v>319</v>
      </c>
    </row>
    <row r="186" spans="1:5" hidden="1" x14ac:dyDescent="0.2">
      <c r="A186">
        <v>400618579</v>
      </c>
      <c r="B186">
        <v>400563162</v>
      </c>
      <c r="C186" t="s">
        <v>979</v>
      </c>
      <c r="D186" t="s">
        <v>980</v>
      </c>
      <c r="E186" t="s">
        <v>340</v>
      </c>
    </row>
    <row r="187" spans="1:5" hidden="1" x14ac:dyDescent="0.2">
      <c r="A187">
        <v>584100192</v>
      </c>
      <c r="B187">
        <v>400563162</v>
      </c>
      <c r="C187" t="s">
        <v>341</v>
      </c>
      <c r="D187" t="s">
        <v>340</v>
      </c>
      <c r="E187" t="s">
        <v>24</v>
      </c>
    </row>
    <row r="188" spans="1:5" hidden="1" x14ac:dyDescent="0.2">
      <c r="A188" t="s">
        <v>981</v>
      </c>
      <c r="B188">
        <v>400563162</v>
      </c>
      <c r="C188" t="s">
        <v>982</v>
      </c>
      <c r="D188" t="s">
        <v>983</v>
      </c>
      <c r="E188" t="s">
        <v>340</v>
      </c>
    </row>
    <row r="189" spans="1:5" hidden="1" x14ac:dyDescent="0.2">
      <c r="A189">
        <v>512222886</v>
      </c>
      <c r="B189">
        <v>400584348</v>
      </c>
      <c r="C189" t="s">
        <v>279</v>
      </c>
      <c r="D189" t="s">
        <v>680</v>
      </c>
      <c r="E189" t="s">
        <v>24</v>
      </c>
    </row>
    <row r="190" spans="1:5" hidden="1" x14ac:dyDescent="0.2">
      <c r="A190">
        <v>512455593</v>
      </c>
      <c r="B190">
        <v>400584348</v>
      </c>
      <c r="C190" t="s">
        <v>984</v>
      </c>
      <c r="D190" t="s">
        <v>985</v>
      </c>
      <c r="E190" t="s">
        <v>680</v>
      </c>
    </row>
    <row r="191" spans="1:5" hidden="1" x14ac:dyDescent="0.2">
      <c r="A191">
        <v>400493201</v>
      </c>
      <c r="B191">
        <v>400750278</v>
      </c>
      <c r="C191" t="s">
        <v>108</v>
      </c>
      <c r="D191" t="s">
        <v>107</v>
      </c>
      <c r="E191" t="s">
        <v>24</v>
      </c>
    </row>
    <row r="192" spans="1:5" hidden="1" x14ac:dyDescent="0.2">
      <c r="A192" t="s">
        <v>986</v>
      </c>
      <c r="B192">
        <v>400750278</v>
      </c>
      <c r="C192" t="s">
        <v>987</v>
      </c>
      <c r="D192" t="s">
        <v>988</v>
      </c>
      <c r="E192" t="s">
        <v>107</v>
      </c>
    </row>
    <row r="193" spans="1:5" hidden="1" x14ac:dyDescent="0.2">
      <c r="A193" t="s">
        <v>989</v>
      </c>
      <c r="B193">
        <v>400750278</v>
      </c>
      <c r="C193" t="s">
        <v>990</v>
      </c>
      <c r="D193" t="s">
        <v>991</v>
      </c>
      <c r="E193" t="s">
        <v>107</v>
      </c>
    </row>
    <row r="194" spans="1:5" hidden="1" x14ac:dyDescent="0.2">
      <c r="A194">
        <v>400584360</v>
      </c>
      <c r="B194">
        <v>400856302</v>
      </c>
      <c r="C194" t="s">
        <v>118</v>
      </c>
      <c r="D194" t="s">
        <v>117</v>
      </c>
      <c r="E194" t="s">
        <v>24</v>
      </c>
    </row>
    <row r="195" spans="1:5" hidden="1" x14ac:dyDescent="0.2">
      <c r="A195">
        <v>400824254</v>
      </c>
      <c r="B195">
        <v>400856302</v>
      </c>
      <c r="C195" t="s">
        <v>118</v>
      </c>
      <c r="D195" t="s">
        <v>992</v>
      </c>
      <c r="E195" t="s">
        <v>117</v>
      </c>
    </row>
    <row r="196" spans="1:5" hidden="1" x14ac:dyDescent="0.2">
      <c r="A196">
        <v>401031844</v>
      </c>
      <c r="B196">
        <v>400856302</v>
      </c>
      <c r="C196" t="s">
        <v>118</v>
      </c>
      <c r="D196" t="s">
        <v>993</v>
      </c>
      <c r="E196" t="s">
        <v>117</v>
      </c>
    </row>
    <row r="197" spans="1:5" hidden="1" x14ac:dyDescent="0.2">
      <c r="A197">
        <v>401191575</v>
      </c>
      <c r="B197">
        <v>400856302</v>
      </c>
      <c r="C197" t="s">
        <v>118</v>
      </c>
      <c r="D197" t="s">
        <v>994</v>
      </c>
      <c r="E197" t="s">
        <v>117</v>
      </c>
    </row>
    <row r="198" spans="1:5" hidden="1" x14ac:dyDescent="0.2">
      <c r="A198">
        <v>414572348</v>
      </c>
      <c r="B198">
        <v>400856302</v>
      </c>
      <c r="C198" t="s">
        <v>118</v>
      </c>
      <c r="D198" t="s">
        <v>995</v>
      </c>
      <c r="E198" t="s">
        <v>117</v>
      </c>
    </row>
    <row r="199" spans="1:5" hidden="1" x14ac:dyDescent="0.2">
      <c r="A199">
        <v>417221860</v>
      </c>
      <c r="B199">
        <v>400856302</v>
      </c>
      <c r="C199" t="s">
        <v>118</v>
      </c>
      <c r="D199" t="s">
        <v>996</v>
      </c>
      <c r="E199" t="s">
        <v>117</v>
      </c>
    </row>
    <row r="200" spans="1:5" hidden="1" x14ac:dyDescent="0.2">
      <c r="A200">
        <v>417221884</v>
      </c>
      <c r="B200">
        <v>400856302</v>
      </c>
      <c r="C200" t="s">
        <v>118</v>
      </c>
      <c r="D200" t="s">
        <v>997</v>
      </c>
      <c r="E200" t="s">
        <v>117</v>
      </c>
    </row>
    <row r="201" spans="1:5" hidden="1" x14ac:dyDescent="0.2">
      <c r="A201">
        <v>400068581</v>
      </c>
      <c r="B201">
        <v>400856511</v>
      </c>
      <c r="C201" t="s">
        <v>273</v>
      </c>
      <c r="D201" t="s">
        <v>272</v>
      </c>
      <c r="E201" t="s">
        <v>24</v>
      </c>
    </row>
    <row r="202" spans="1:5" hidden="1" x14ac:dyDescent="0.2">
      <c r="A202" t="s">
        <v>998</v>
      </c>
      <c r="B202">
        <v>400856511</v>
      </c>
      <c r="C202" t="s">
        <v>999</v>
      </c>
      <c r="D202" t="s">
        <v>1000</v>
      </c>
      <c r="E202" t="s">
        <v>272</v>
      </c>
    </row>
    <row r="203" spans="1:5" hidden="1" x14ac:dyDescent="0.2">
      <c r="A203">
        <v>512224098</v>
      </c>
      <c r="B203">
        <v>400959540</v>
      </c>
      <c r="C203" t="s">
        <v>279</v>
      </c>
      <c r="D203" t="s">
        <v>679</v>
      </c>
      <c r="E203" t="s">
        <v>24</v>
      </c>
    </row>
    <row r="204" spans="1:5" hidden="1" x14ac:dyDescent="0.2">
      <c r="A204">
        <v>512460957</v>
      </c>
      <c r="B204">
        <v>400959540</v>
      </c>
      <c r="C204" t="s">
        <v>984</v>
      </c>
      <c r="D204" t="s">
        <v>1001</v>
      </c>
      <c r="E204" t="s">
        <v>679</v>
      </c>
    </row>
    <row r="205" spans="1:5" hidden="1" x14ac:dyDescent="0.2">
      <c r="A205">
        <v>400991035</v>
      </c>
      <c r="B205">
        <v>400992077</v>
      </c>
      <c r="C205" t="s">
        <v>301</v>
      </c>
      <c r="D205" t="s">
        <v>300</v>
      </c>
      <c r="E205" t="s">
        <v>24</v>
      </c>
    </row>
    <row r="206" spans="1:5" hidden="1" x14ac:dyDescent="0.2">
      <c r="A206" t="s">
        <v>1002</v>
      </c>
      <c r="B206">
        <v>400992077</v>
      </c>
      <c r="C206" t="s">
        <v>1003</v>
      </c>
      <c r="D206" t="s">
        <v>1004</v>
      </c>
      <c r="E206" t="s">
        <v>300</v>
      </c>
    </row>
    <row r="207" spans="1:5" hidden="1" x14ac:dyDescent="0.2">
      <c r="A207">
        <v>400019832</v>
      </c>
      <c r="B207">
        <v>401026794</v>
      </c>
      <c r="C207" t="s">
        <v>692</v>
      </c>
      <c r="D207" t="s">
        <v>691</v>
      </c>
      <c r="E207" t="s">
        <v>1005</v>
      </c>
    </row>
    <row r="208" spans="1:5" hidden="1" x14ac:dyDescent="0.2">
      <c r="A208">
        <v>405532683</v>
      </c>
      <c r="B208">
        <v>401026794</v>
      </c>
      <c r="C208" t="s">
        <v>1006</v>
      </c>
      <c r="D208" t="s">
        <v>1007</v>
      </c>
      <c r="E208" t="s">
        <v>1005</v>
      </c>
    </row>
    <row r="209" spans="1:5" hidden="1" x14ac:dyDescent="0.2">
      <c r="A209">
        <v>407968305</v>
      </c>
      <c r="B209">
        <v>401026794</v>
      </c>
      <c r="C209" t="s">
        <v>1008</v>
      </c>
      <c r="D209" t="s">
        <v>1005</v>
      </c>
      <c r="E209" t="s">
        <v>24</v>
      </c>
    </row>
    <row r="210" spans="1:5" hidden="1" x14ac:dyDescent="0.2">
      <c r="A210">
        <v>827490699</v>
      </c>
      <c r="B210">
        <v>401026794</v>
      </c>
      <c r="C210" t="s">
        <v>1009</v>
      </c>
      <c r="D210" t="s">
        <v>1010</v>
      </c>
      <c r="E210" t="s">
        <v>1005</v>
      </c>
    </row>
    <row r="211" spans="1:5" hidden="1" x14ac:dyDescent="0.2">
      <c r="A211" t="s">
        <v>1011</v>
      </c>
      <c r="B211">
        <v>401239990</v>
      </c>
      <c r="C211" t="s">
        <v>1012</v>
      </c>
      <c r="D211" t="s">
        <v>1013</v>
      </c>
      <c r="E211" t="s">
        <v>332</v>
      </c>
    </row>
    <row r="212" spans="1:5" hidden="1" x14ac:dyDescent="0.2">
      <c r="A212" t="s">
        <v>333</v>
      </c>
      <c r="B212">
        <v>401239990</v>
      </c>
      <c r="C212" t="s">
        <v>334</v>
      </c>
      <c r="D212" t="s">
        <v>332</v>
      </c>
      <c r="E212" t="s">
        <v>24</v>
      </c>
    </row>
    <row r="213" spans="1:5" hidden="1" x14ac:dyDescent="0.2">
      <c r="A213">
        <v>400956927</v>
      </c>
      <c r="B213">
        <v>401272715</v>
      </c>
      <c r="C213" t="s">
        <v>624</v>
      </c>
      <c r="D213" t="s">
        <v>1014</v>
      </c>
      <c r="E213" t="s">
        <v>1015</v>
      </c>
    </row>
    <row r="214" spans="1:5" hidden="1" x14ac:dyDescent="0.2">
      <c r="A214">
        <v>401270756</v>
      </c>
      <c r="B214">
        <v>401272715</v>
      </c>
      <c r="C214" t="s">
        <v>624</v>
      </c>
      <c r="D214" t="s">
        <v>623</v>
      </c>
      <c r="E214" t="s">
        <v>1015</v>
      </c>
    </row>
    <row r="215" spans="1:5" hidden="1" x14ac:dyDescent="0.2">
      <c r="A215">
        <v>403539967</v>
      </c>
      <c r="B215">
        <v>401272715</v>
      </c>
      <c r="C215" t="s">
        <v>624</v>
      </c>
      <c r="D215" t="s">
        <v>1015</v>
      </c>
      <c r="E215" t="s">
        <v>24</v>
      </c>
    </row>
    <row r="216" spans="1:5" hidden="1" x14ac:dyDescent="0.2">
      <c r="A216">
        <v>512313172</v>
      </c>
      <c r="B216">
        <v>401411623</v>
      </c>
      <c r="C216" t="s">
        <v>284</v>
      </c>
      <c r="D216" t="s">
        <v>657</v>
      </c>
      <c r="E216" t="s">
        <v>24</v>
      </c>
    </row>
    <row r="217" spans="1:5" hidden="1" x14ac:dyDescent="0.2">
      <c r="A217">
        <v>512325119</v>
      </c>
      <c r="B217">
        <v>401411623</v>
      </c>
      <c r="C217" t="s">
        <v>1016</v>
      </c>
      <c r="D217" t="s">
        <v>1017</v>
      </c>
      <c r="E217" t="s">
        <v>657</v>
      </c>
    </row>
    <row r="218" spans="1:5" hidden="1" x14ac:dyDescent="0.2">
      <c r="A218">
        <v>512313149</v>
      </c>
      <c r="B218">
        <v>401411645</v>
      </c>
      <c r="C218" t="s">
        <v>284</v>
      </c>
      <c r="D218" t="s">
        <v>281</v>
      </c>
      <c r="E218" t="s">
        <v>24</v>
      </c>
    </row>
    <row r="219" spans="1:5" hidden="1" x14ac:dyDescent="0.2">
      <c r="A219">
        <v>512314055</v>
      </c>
      <c r="B219">
        <v>401411645</v>
      </c>
      <c r="C219" t="s">
        <v>1016</v>
      </c>
      <c r="D219" t="s">
        <v>1018</v>
      </c>
      <c r="E219" t="s">
        <v>281</v>
      </c>
    </row>
    <row r="220" spans="1:5" hidden="1" x14ac:dyDescent="0.2">
      <c r="A220">
        <v>512305798</v>
      </c>
      <c r="B220">
        <v>401411669</v>
      </c>
      <c r="C220" t="s">
        <v>1016</v>
      </c>
      <c r="D220" t="s">
        <v>1019</v>
      </c>
      <c r="E220" t="s">
        <v>658</v>
      </c>
    </row>
    <row r="221" spans="1:5" hidden="1" x14ac:dyDescent="0.2">
      <c r="A221">
        <v>512312810</v>
      </c>
      <c r="B221">
        <v>401411669</v>
      </c>
      <c r="C221" t="s">
        <v>282</v>
      </c>
      <c r="D221" t="s">
        <v>658</v>
      </c>
      <c r="E221" t="s">
        <v>24</v>
      </c>
    </row>
    <row r="222" spans="1:5" hidden="1" x14ac:dyDescent="0.2">
      <c r="A222">
        <v>512305178</v>
      </c>
      <c r="B222">
        <v>401411682</v>
      </c>
      <c r="C222" t="s">
        <v>1016</v>
      </c>
      <c r="D222" t="s">
        <v>1020</v>
      </c>
      <c r="E222" t="s">
        <v>283</v>
      </c>
    </row>
    <row r="223" spans="1:5" hidden="1" x14ac:dyDescent="0.2">
      <c r="A223">
        <v>512313164</v>
      </c>
      <c r="B223">
        <v>401411682</v>
      </c>
      <c r="C223" t="s">
        <v>284</v>
      </c>
      <c r="D223" t="s">
        <v>283</v>
      </c>
      <c r="E223" t="s">
        <v>24</v>
      </c>
    </row>
    <row r="224" spans="1:5" hidden="1" x14ac:dyDescent="0.2">
      <c r="A224">
        <v>400632633</v>
      </c>
      <c r="B224">
        <v>401424469</v>
      </c>
      <c r="C224" t="s">
        <v>1021</v>
      </c>
      <c r="D224" t="s">
        <v>1022</v>
      </c>
      <c r="E224" t="s">
        <v>321</v>
      </c>
    </row>
    <row r="225" spans="1:5" hidden="1" x14ac:dyDescent="0.2">
      <c r="A225">
        <v>401354460</v>
      </c>
      <c r="B225">
        <v>401424469</v>
      </c>
      <c r="C225" t="s">
        <v>322</v>
      </c>
      <c r="D225" t="s">
        <v>321</v>
      </c>
      <c r="E225" t="s">
        <v>24</v>
      </c>
    </row>
    <row r="226" spans="1:5" hidden="1" x14ac:dyDescent="0.2">
      <c r="A226">
        <v>521362392</v>
      </c>
      <c r="B226">
        <v>401436174</v>
      </c>
      <c r="C226" t="s">
        <v>279</v>
      </c>
      <c r="D226" t="s">
        <v>306</v>
      </c>
      <c r="E226" t="s">
        <v>24</v>
      </c>
    </row>
    <row r="227" spans="1:5" hidden="1" x14ac:dyDescent="0.2">
      <c r="A227">
        <v>521561126</v>
      </c>
      <c r="B227">
        <v>401436174</v>
      </c>
      <c r="C227" t="s">
        <v>984</v>
      </c>
      <c r="D227" t="s">
        <v>1023</v>
      </c>
      <c r="E227" t="s">
        <v>306</v>
      </c>
    </row>
    <row r="228" spans="1:5" hidden="1" x14ac:dyDescent="0.2">
      <c r="A228">
        <v>401484963</v>
      </c>
      <c r="B228">
        <v>401490612</v>
      </c>
      <c r="C228" t="s">
        <v>279</v>
      </c>
      <c r="D228" t="s">
        <v>682</v>
      </c>
      <c r="E228" t="s">
        <v>24</v>
      </c>
    </row>
    <row r="229" spans="1:5" hidden="1" x14ac:dyDescent="0.2">
      <c r="A229">
        <v>512461021</v>
      </c>
      <c r="B229">
        <v>401490612</v>
      </c>
      <c r="C229" t="s">
        <v>984</v>
      </c>
      <c r="D229" t="s">
        <v>1024</v>
      </c>
      <c r="E229" t="s">
        <v>682</v>
      </c>
    </row>
    <row r="230" spans="1:5" hidden="1" x14ac:dyDescent="0.2">
      <c r="A230">
        <v>401503301</v>
      </c>
      <c r="B230">
        <v>401502404</v>
      </c>
      <c r="C230" t="s">
        <v>124</v>
      </c>
      <c r="D230" t="s">
        <v>1025</v>
      </c>
      <c r="E230" t="s">
        <v>123</v>
      </c>
    </row>
    <row r="231" spans="1:5" hidden="1" x14ac:dyDescent="0.2">
      <c r="A231">
        <v>401511485</v>
      </c>
      <c r="B231">
        <v>401502404</v>
      </c>
      <c r="C231" t="s">
        <v>124</v>
      </c>
      <c r="D231" t="s">
        <v>1026</v>
      </c>
      <c r="E231" t="s">
        <v>123</v>
      </c>
    </row>
    <row r="232" spans="1:5" hidden="1" x14ac:dyDescent="0.2">
      <c r="A232">
        <v>401554938</v>
      </c>
      <c r="B232">
        <v>401502404</v>
      </c>
      <c r="C232" t="s">
        <v>124</v>
      </c>
      <c r="D232" t="s">
        <v>123</v>
      </c>
      <c r="E232" t="s">
        <v>24</v>
      </c>
    </row>
    <row r="233" spans="1:5" hidden="1" x14ac:dyDescent="0.2">
      <c r="A233">
        <v>402004734</v>
      </c>
      <c r="B233">
        <v>401502404</v>
      </c>
      <c r="C233" t="s">
        <v>124</v>
      </c>
      <c r="D233" t="s">
        <v>1027</v>
      </c>
      <c r="E233" t="s">
        <v>123</v>
      </c>
    </row>
    <row r="234" spans="1:5" hidden="1" x14ac:dyDescent="0.2">
      <c r="A234">
        <v>417103921</v>
      </c>
      <c r="B234">
        <v>401502404</v>
      </c>
      <c r="C234" t="s">
        <v>124</v>
      </c>
      <c r="D234" t="s">
        <v>1028</v>
      </c>
      <c r="E234" t="s">
        <v>123</v>
      </c>
    </row>
    <row r="235" spans="1:5" hidden="1" x14ac:dyDescent="0.2">
      <c r="A235">
        <v>417350080</v>
      </c>
      <c r="B235">
        <v>401502404</v>
      </c>
      <c r="C235" t="s">
        <v>124</v>
      </c>
      <c r="D235" t="s">
        <v>1029</v>
      </c>
      <c r="E235" t="s">
        <v>123</v>
      </c>
    </row>
    <row r="236" spans="1:5" hidden="1" x14ac:dyDescent="0.2">
      <c r="A236">
        <v>400252132</v>
      </c>
      <c r="B236">
        <v>401554073</v>
      </c>
      <c r="C236" t="s">
        <v>102</v>
      </c>
      <c r="D236" t="s">
        <v>101</v>
      </c>
      <c r="E236" t="s">
        <v>24</v>
      </c>
    </row>
    <row r="237" spans="1:5" hidden="1" x14ac:dyDescent="0.2">
      <c r="A237" t="s">
        <v>1030</v>
      </c>
      <c r="B237">
        <v>401554073</v>
      </c>
      <c r="C237" t="s">
        <v>1031</v>
      </c>
      <c r="D237" t="s">
        <v>1032</v>
      </c>
      <c r="E237" t="s">
        <v>101</v>
      </c>
    </row>
    <row r="238" spans="1:5" hidden="1" x14ac:dyDescent="0.2">
      <c r="A238">
        <v>400169928</v>
      </c>
      <c r="B238">
        <v>403175049</v>
      </c>
      <c r="C238" t="s">
        <v>1033</v>
      </c>
      <c r="D238" t="s">
        <v>1034</v>
      </c>
      <c r="E238" t="s">
        <v>131</v>
      </c>
    </row>
    <row r="239" spans="1:5" hidden="1" x14ac:dyDescent="0.2">
      <c r="A239">
        <v>401354469</v>
      </c>
      <c r="B239">
        <v>403175049</v>
      </c>
      <c r="C239" t="s">
        <v>1033</v>
      </c>
      <c r="D239" t="s">
        <v>1035</v>
      </c>
      <c r="E239" t="s">
        <v>131</v>
      </c>
    </row>
    <row r="240" spans="1:5" hidden="1" x14ac:dyDescent="0.2">
      <c r="A240">
        <v>402192622</v>
      </c>
      <c r="B240">
        <v>403175049</v>
      </c>
      <c r="C240" t="s">
        <v>1033</v>
      </c>
      <c r="D240" t="s">
        <v>1036</v>
      </c>
      <c r="E240" t="s">
        <v>131</v>
      </c>
    </row>
    <row r="241" spans="1:5" hidden="1" x14ac:dyDescent="0.2">
      <c r="A241">
        <v>404482072</v>
      </c>
      <c r="B241">
        <v>403175049</v>
      </c>
      <c r="C241" t="s">
        <v>1033</v>
      </c>
      <c r="D241" t="s">
        <v>1037</v>
      </c>
      <c r="E241" t="s">
        <v>131</v>
      </c>
    </row>
    <row r="242" spans="1:5" hidden="1" x14ac:dyDescent="0.2">
      <c r="A242">
        <v>405656805</v>
      </c>
      <c r="B242">
        <v>403175049</v>
      </c>
      <c r="C242" t="s">
        <v>1033</v>
      </c>
      <c r="D242" t="s">
        <v>131</v>
      </c>
      <c r="E242" t="s">
        <v>24</v>
      </c>
    </row>
    <row r="243" spans="1:5" hidden="1" x14ac:dyDescent="0.2">
      <c r="A243">
        <v>401571708</v>
      </c>
      <c r="B243">
        <v>403581722</v>
      </c>
      <c r="C243" t="s">
        <v>339</v>
      </c>
      <c r="D243" t="s">
        <v>1038</v>
      </c>
      <c r="E243" t="s">
        <v>338</v>
      </c>
    </row>
    <row r="244" spans="1:5" hidden="1" x14ac:dyDescent="0.2">
      <c r="A244">
        <v>403578730</v>
      </c>
      <c r="B244">
        <v>403581722</v>
      </c>
      <c r="C244" t="s">
        <v>339</v>
      </c>
      <c r="D244" t="s">
        <v>338</v>
      </c>
      <c r="E244" t="s">
        <v>24</v>
      </c>
    </row>
    <row r="245" spans="1:5" hidden="1" x14ac:dyDescent="0.2">
      <c r="A245">
        <v>403834698</v>
      </c>
      <c r="B245">
        <v>403846526</v>
      </c>
      <c r="C245" t="s">
        <v>1039</v>
      </c>
      <c r="D245" t="s">
        <v>1040</v>
      </c>
      <c r="E245" t="s">
        <v>25</v>
      </c>
    </row>
    <row r="246" spans="1:5" hidden="1" x14ac:dyDescent="0.2">
      <c r="A246">
        <v>410206308</v>
      </c>
      <c r="B246">
        <v>403846526</v>
      </c>
      <c r="C246" t="s">
        <v>1039</v>
      </c>
      <c r="D246" t="s">
        <v>25</v>
      </c>
      <c r="E246" t="s">
        <v>24</v>
      </c>
    </row>
    <row r="247" spans="1:5" hidden="1" x14ac:dyDescent="0.2">
      <c r="A247">
        <v>417083260</v>
      </c>
      <c r="B247">
        <v>403846526</v>
      </c>
      <c r="C247" t="s">
        <v>1039</v>
      </c>
      <c r="D247" t="s">
        <v>109</v>
      </c>
      <c r="E247" t="s">
        <v>25</v>
      </c>
    </row>
    <row r="248" spans="1:5" hidden="1" x14ac:dyDescent="0.2">
      <c r="A248">
        <v>417983159</v>
      </c>
      <c r="B248">
        <v>403846526</v>
      </c>
      <c r="C248" t="s">
        <v>1039</v>
      </c>
      <c r="D248" t="s">
        <v>1041</v>
      </c>
      <c r="E248" t="s">
        <v>25</v>
      </c>
    </row>
    <row r="249" spans="1:5" hidden="1" x14ac:dyDescent="0.2">
      <c r="A249" t="s">
        <v>1042</v>
      </c>
      <c r="B249">
        <v>403846526</v>
      </c>
      <c r="C249" t="s">
        <v>1039</v>
      </c>
      <c r="D249" t="s">
        <v>1043</v>
      </c>
      <c r="E249" t="s">
        <v>25</v>
      </c>
    </row>
    <row r="250" spans="1:5" hidden="1" x14ac:dyDescent="0.2">
      <c r="A250">
        <v>403834702</v>
      </c>
      <c r="B250">
        <v>403846606</v>
      </c>
      <c r="C250" t="s">
        <v>30</v>
      </c>
      <c r="D250" t="s">
        <v>1044</v>
      </c>
      <c r="E250" t="s">
        <v>26</v>
      </c>
    </row>
    <row r="251" spans="1:5" hidden="1" x14ac:dyDescent="0.2">
      <c r="A251">
        <v>411063876</v>
      </c>
      <c r="B251">
        <v>403846606</v>
      </c>
      <c r="C251" t="s">
        <v>27</v>
      </c>
      <c r="D251" t="s">
        <v>26</v>
      </c>
      <c r="E251" t="s">
        <v>24</v>
      </c>
    </row>
    <row r="252" spans="1:5" hidden="1" x14ac:dyDescent="0.2">
      <c r="A252">
        <v>417983168</v>
      </c>
      <c r="B252">
        <v>403846606</v>
      </c>
      <c r="C252" t="s">
        <v>30</v>
      </c>
      <c r="D252" t="s">
        <v>29</v>
      </c>
      <c r="E252" t="s">
        <v>26</v>
      </c>
    </row>
    <row r="253" spans="1:5" hidden="1" x14ac:dyDescent="0.2">
      <c r="A253" t="s">
        <v>1045</v>
      </c>
      <c r="B253">
        <v>403846606</v>
      </c>
      <c r="C253" t="s">
        <v>30</v>
      </c>
      <c r="D253" t="s">
        <v>1046</v>
      </c>
      <c r="E253" t="s">
        <v>26</v>
      </c>
    </row>
    <row r="254" spans="1:5" hidden="1" x14ac:dyDescent="0.2">
      <c r="A254">
        <v>400002897</v>
      </c>
      <c r="B254">
        <v>405536560</v>
      </c>
      <c r="C254" t="s">
        <v>328</v>
      </c>
      <c r="D254" t="s">
        <v>327</v>
      </c>
      <c r="E254" t="s">
        <v>1047</v>
      </c>
    </row>
    <row r="255" spans="1:5" hidden="1" x14ac:dyDescent="0.2">
      <c r="A255">
        <v>405532684</v>
      </c>
      <c r="B255">
        <v>405536560</v>
      </c>
      <c r="C255" t="s">
        <v>1006</v>
      </c>
      <c r="D255" t="s">
        <v>1048</v>
      </c>
      <c r="E255" t="s">
        <v>1047</v>
      </c>
    </row>
    <row r="256" spans="1:5" hidden="1" x14ac:dyDescent="0.2">
      <c r="A256">
        <v>407310314</v>
      </c>
      <c r="B256">
        <v>405536560</v>
      </c>
      <c r="C256" t="s">
        <v>1006</v>
      </c>
      <c r="D256" t="s">
        <v>1047</v>
      </c>
      <c r="E256" t="s">
        <v>24</v>
      </c>
    </row>
    <row r="257" spans="1:5" hidden="1" x14ac:dyDescent="0.2">
      <c r="A257">
        <v>400019835</v>
      </c>
      <c r="B257">
        <v>405536567</v>
      </c>
      <c r="C257" t="s">
        <v>1049</v>
      </c>
      <c r="D257" t="s">
        <v>1050</v>
      </c>
      <c r="E257" t="s">
        <v>1051</v>
      </c>
    </row>
    <row r="258" spans="1:5" hidden="1" x14ac:dyDescent="0.2">
      <c r="A258">
        <v>405530594</v>
      </c>
      <c r="B258">
        <v>405536567</v>
      </c>
      <c r="C258" t="s">
        <v>330</v>
      </c>
      <c r="D258" t="s">
        <v>329</v>
      </c>
      <c r="E258" t="s">
        <v>1051</v>
      </c>
    </row>
    <row r="259" spans="1:5" hidden="1" x14ac:dyDescent="0.2">
      <c r="A259">
        <v>407968290</v>
      </c>
      <c r="B259">
        <v>405536567</v>
      </c>
      <c r="C259" t="s">
        <v>1052</v>
      </c>
      <c r="D259" t="s">
        <v>1051</v>
      </c>
      <c r="E259" t="s">
        <v>24</v>
      </c>
    </row>
    <row r="260" spans="1:5" hidden="1" x14ac:dyDescent="0.2">
      <c r="A260">
        <v>512220526</v>
      </c>
      <c r="B260">
        <v>405849849</v>
      </c>
      <c r="C260" t="s">
        <v>279</v>
      </c>
      <c r="D260" t="s">
        <v>681</v>
      </c>
      <c r="E260" t="s">
        <v>24</v>
      </c>
    </row>
    <row r="261" spans="1:5" hidden="1" x14ac:dyDescent="0.2">
      <c r="A261">
        <v>512305335</v>
      </c>
      <c r="B261">
        <v>405849849</v>
      </c>
      <c r="C261" t="s">
        <v>279</v>
      </c>
      <c r="D261" t="s">
        <v>1053</v>
      </c>
      <c r="E261" t="s">
        <v>681</v>
      </c>
    </row>
    <row r="262" spans="1:5" hidden="1" x14ac:dyDescent="0.2">
      <c r="A262">
        <v>400022971</v>
      </c>
      <c r="B262">
        <v>407383885</v>
      </c>
      <c r="C262" t="s">
        <v>318</v>
      </c>
      <c r="D262" t="s">
        <v>317</v>
      </c>
      <c r="E262" t="s">
        <v>24</v>
      </c>
    </row>
    <row r="263" spans="1:5" hidden="1" x14ac:dyDescent="0.2">
      <c r="A263">
        <v>407338241</v>
      </c>
      <c r="B263">
        <v>407383885</v>
      </c>
      <c r="C263" t="s">
        <v>1054</v>
      </c>
      <c r="D263" t="s">
        <v>1055</v>
      </c>
      <c r="E263" t="s">
        <v>317</v>
      </c>
    </row>
    <row r="264" spans="1:5" hidden="1" x14ac:dyDescent="0.2">
      <c r="A264">
        <v>400066515</v>
      </c>
      <c r="B264">
        <v>409377480</v>
      </c>
      <c r="C264" t="s">
        <v>102</v>
      </c>
      <c r="D264" t="s">
        <v>1056</v>
      </c>
      <c r="E264" t="s">
        <v>270</v>
      </c>
    </row>
    <row r="265" spans="1:5" hidden="1" x14ac:dyDescent="0.2">
      <c r="A265">
        <v>400391792</v>
      </c>
      <c r="B265">
        <v>409377480</v>
      </c>
      <c r="C265" t="s">
        <v>102</v>
      </c>
      <c r="D265" t="s">
        <v>270</v>
      </c>
      <c r="E265" t="s">
        <v>24</v>
      </c>
    </row>
    <row r="266" spans="1:5" hidden="1" x14ac:dyDescent="0.2">
      <c r="A266">
        <v>400571854</v>
      </c>
      <c r="B266">
        <v>409936603</v>
      </c>
      <c r="C266" t="s">
        <v>709</v>
      </c>
      <c r="D266" t="s">
        <v>708</v>
      </c>
      <c r="E266" t="s">
        <v>24</v>
      </c>
    </row>
    <row r="267" spans="1:5" hidden="1" x14ac:dyDescent="0.2">
      <c r="A267">
        <v>400572568</v>
      </c>
      <c r="B267">
        <v>409936603</v>
      </c>
      <c r="C267" t="s">
        <v>1057</v>
      </c>
      <c r="D267" t="s">
        <v>1058</v>
      </c>
      <c r="E267" t="s">
        <v>708</v>
      </c>
    </row>
    <row r="268" spans="1:5" hidden="1" x14ac:dyDescent="0.2">
      <c r="A268">
        <v>400342442</v>
      </c>
      <c r="B268">
        <v>410710871</v>
      </c>
      <c r="C268" t="s">
        <v>696</v>
      </c>
      <c r="D268" t="s">
        <v>695</v>
      </c>
      <c r="E268" t="s">
        <v>545</v>
      </c>
    </row>
    <row r="269" spans="1:5" hidden="1" x14ac:dyDescent="0.2">
      <c r="A269">
        <v>412241007</v>
      </c>
      <c r="B269">
        <v>410710871</v>
      </c>
      <c r="C269" t="s">
        <v>546</v>
      </c>
      <c r="D269" t="s">
        <v>545</v>
      </c>
      <c r="E269" t="s">
        <v>24</v>
      </c>
    </row>
    <row r="270" spans="1:5" hidden="1" x14ac:dyDescent="0.2">
      <c r="A270">
        <v>400236890</v>
      </c>
      <c r="B270">
        <v>415712317</v>
      </c>
      <c r="C270" t="s">
        <v>742</v>
      </c>
      <c r="D270" t="s">
        <v>1059</v>
      </c>
      <c r="E270" t="s">
        <v>75</v>
      </c>
    </row>
    <row r="271" spans="1:5" hidden="1" x14ac:dyDescent="0.2">
      <c r="A271">
        <v>405928222</v>
      </c>
      <c r="B271">
        <v>415712317</v>
      </c>
      <c r="C271" t="s">
        <v>76</v>
      </c>
      <c r="D271" t="s">
        <v>75</v>
      </c>
      <c r="E271" t="s">
        <v>24</v>
      </c>
    </row>
    <row r="272" spans="1:5" hidden="1" x14ac:dyDescent="0.2">
      <c r="A272">
        <v>400601402</v>
      </c>
      <c r="B272">
        <v>415712323</v>
      </c>
      <c r="C272" t="s">
        <v>1060</v>
      </c>
      <c r="D272" t="s">
        <v>1061</v>
      </c>
      <c r="E272" t="s">
        <v>79</v>
      </c>
    </row>
    <row r="273" spans="1:5" hidden="1" x14ac:dyDescent="0.2">
      <c r="A273">
        <v>411263723</v>
      </c>
      <c r="B273">
        <v>415712323</v>
      </c>
      <c r="C273" t="s">
        <v>80</v>
      </c>
      <c r="D273" t="s">
        <v>79</v>
      </c>
      <c r="E273" t="s">
        <v>24</v>
      </c>
    </row>
    <row r="274" spans="1:5" hidden="1" x14ac:dyDescent="0.2">
      <c r="A274">
        <v>400257863</v>
      </c>
      <c r="B274">
        <v>415712344</v>
      </c>
      <c r="C274" t="s">
        <v>1062</v>
      </c>
      <c r="D274" t="s">
        <v>1063</v>
      </c>
      <c r="E274" t="s">
        <v>65</v>
      </c>
    </row>
    <row r="275" spans="1:5" hidden="1" x14ac:dyDescent="0.2">
      <c r="A275">
        <v>404179667</v>
      </c>
      <c r="B275">
        <v>415712344</v>
      </c>
      <c r="C275" t="s">
        <v>66</v>
      </c>
      <c r="D275" t="s">
        <v>65</v>
      </c>
      <c r="E275" t="s">
        <v>24</v>
      </c>
    </row>
    <row r="276" spans="1:5" hidden="1" x14ac:dyDescent="0.2">
      <c r="A276">
        <v>400601404</v>
      </c>
      <c r="B276">
        <v>415712346</v>
      </c>
      <c r="C276" t="s">
        <v>1064</v>
      </c>
      <c r="D276" t="s">
        <v>1065</v>
      </c>
      <c r="E276" t="s">
        <v>77</v>
      </c>
    </row>
    <row r="277" spans="1:5" hidden="1" x14ac:dyDescent="0.2">
      <c r="A277">
        <v>404495499</v>
      </c>
      <c r="B277">
        <v>415712346</v>
      </c>
      <c r="C277" t="s">
        <v>78</v>
      </c>
      <c r="D277" t="s">
        <v>77</v>
      </c>
      <c r="E277" t="s">
        <v>24</v>
      </c>
    </row>
    <row r="278" spans="1:5" hidden="1" x14ac:dyDescent="0.2">
      <c r="A278">
        <v>401225108</v>
      </c>
      <c r="B278">
        <v>417531744</v>
      </c>
      <c r="C278" t="s">
        <v>21</v>
      </c>
      <c r="D278" t="s">
        <v>20</v>
      </c>
      <c r="E278" t="s">
        <v>97</v>
      </c>
    </row>
    <row r="279" spans="1:5" hidden="1" x14ac:dyDescent="0.2">
      <c r="A279">
        <v>417417686</v>
      </c>
      <c r="B279">
        <v>417531744</v>
      </c>
      <c r="C279" t="s">
        <v>21</v>
      </c>
      <c r="D279" t="s">
        <v>97</v>
      </c>
      <c r="E279" t="s">
        <v>24</v>
      </c>
    </row>
    <row r="280" spans="1:5" hidden="1" x14ac:dyDescent="0.2">
      <c r="A280">
        <v>401225101</v>
      </c>
      <c r="B280">
        <v>417531747</v>
      </c>
      <c r="C280" t="s">
        <v>23</v>
      </c>
      <c r="D280" t="s">
        <v>22</v>
      </c>
      <c r="E280" t="s">
        <v>98</v>
      </c>
    </row>
    <row r="281" spans="1:5" hidden="1" x14ac:dyDescent="0.2">
      <c r="A281">
        <v>417417688</v>
      </c>
      <c r="B281">
        <v>417531747</v>
      </c>
      <c r="C281" t="s">
        <v>23</v>
      </c>
      <c r="D281" t="s">
        <v>98</v>
      </c>
      <c r="E281" t="s">
        <v>24</v>
      </c>
    </row>
    <row r="282" spans="1:5" hidden="1" x14ac:dyDescent="0.2">
      <c r="A282">
        <v>401000144</v>
      </c>
      <c r="B282">
        <v>419398857</v>
      </c>
      <c r="C282" t="s">
        <v>269</v>
      </c>
      <c r="D282" t="s">
        <v>1066</v>
      </c>
      <c r="E282" t="s">
        <v>268</v>
      </c>
    </row>
    <row r="283" spans="1:5" hidden="1" x14ac:dyDescent="0.2">
      <c r="A283">
        <v>416807302</v>
      </c>
      <c r="B283">
        <v>419398857</v>
      </c>
      <c r="C283" t="s">
        <v>269</v>
      </c>
      <c r="D283" t="s">
        <v>268</v>
      </c>
      <c r="E283" t="s">
        <v>24</v>
      </c>
    </row>
    <row r="284" spans="1:5" hidden="1" x14ac:dyDescent="0.2">
      <c r="A284">
        <v>420978238</v>
      </c>
      <c r="B284">
        <v>421960159</v>
      </c>
      <c r="C284" t="s">
        <v>1067</v>
      </c>
      <c r="D284" t="s">
        <v>1068</v>
      </c>
      <c r="E284" t="s">
        <v>256</v>
      </c>
    </row>
    <row r="285" spans="1:5" hidden="1" x14ac:dyDescent="0.2">
      <c r="A285">
        <v>421559188</v>
      </c>
      <c r="B285">
        <v>421960159</v>
      </c>
      <c r="C285" t="s">
        <v>257</v>
      </c>
      <c r="D285" t="s">
        <v>256</v>
      </c>
      <c r="E285" t="s">
        <v>24</v>
      </c>
    </row>
    <row r="286" spans="1:5" hidden="1" x14ac:dyDescent="0.2">
      <c r="A286">
        <v>421895123</v>
      </c>
      <c r="B286">
        <v>421960159</v>
      </c>
      <c r="C286" t="s">
        <v>1069</v>
      </c>
      <c r="D286" t="s">
        <v>1070</v>
      </c>
      <c r="E286" t="s">
        <v>256</v>
      </c>
    </row>
    <row r="287" spans="1:5" hidden="1" x14ac:dyDescent="0.2">
      <c r="A287">
        <v>424084749</v>
      </c>
      <c r="B287">
        <v>424101102</v>
      </c>
      <c r="C287" t="s">
        <v>275</v>
      </c>
      <c r="D287" t="s">
        <v>274</v>
      </c>
      <c r="E287" t="s">
        <v>24</v>
      </c>
    </row>
    <row r="288" spans="1:5" hidden="1" x14ac:dyDescent="0.2">
      <c r="A288" t="s">
        <v>1071</v>
      </c>
      <c r="B288">
        <v>424101102</v>
      </c>
      <c r="C288" t="s">
        <v>275</v>
      </c>
      <c r="D288" t="s">
        <v>1072</v>
      </c>
      <c r="E288" t="s">
        <v>274</v>
      </c>
    </row>
    <row r="289" spans="1:5" hidden="1" x14ac:dyDescent="0.2">
      <c r="A289" t="s">
        <v>17</v>
      </c>
      <c r="B289" t="s">
        <v>18</v>
      </c>
      <c r="C289" t="s">
        <v>19</v>
      </c>
      <c r="D289">
        <v>200090</v>
      </c>
      <c r="E289" t="s">
        <v>24</v>
      </c>
    </row>
    <row r="290" spans="1:5" hidden="1" x14ac:dyDescent="0.2">
      <c r="A290" t="s">
        <v>1073</v>
      </c>
      <c r="B290" t="s">
        <v>18</v>
      </c>
      <c r="C290" t="s">
        <v>19</v>
      </c>
      <c r="D290" t="s">
        <v>1074</v>
      </c>
      <c r="E290">
        <v>200090</v>
      </c>
    </row>
    <row r="291" spans="1:5" hidden="1" x14ac:dyDescent="0.2">
      <c r="A291">
        <v>401244497</v>
      </c>
      <c r="B291" t="s">
        <v>336</v>
      </c>
      <c r="C291" t="s">
        <v>1075</v>
      </c>
      <c r="D291" t="s">
        <v>1076</v>
      </c>
      <c r="E291" t="s">
        <v>335</v>
      </c>
    </row>
    <row r="292" spans="1:5" hidden="1" x14ac:dyDescent="0.2">
      <c r="A292">
        <v>401480774</v>
      </c>
      <c r="B292" t="s">
        <v>336</v>
      </c>
      <c r="C292" t="s">
        <v>337</v>
      </c>
      <c r="D292" t="s">
        <v>335</v>
      </c>
      <c r="E292" t="s">
        <v>24</v>
      </c>
    </row>
    <row r="293" spans="1:5" hidden="1" x14ac:dyDescent="0.2">
      <c r="A293">
        <v>400266253</v>
      </c>
      <c r="B293" t="s">
        <v>219</v>
      </c>
      <c r="C293" t="s">
        <v>1077</v>
      </c>
      <c r="D293" t="s">
        <v>1078</v>
      </c>
      <c r="E293" t="s">
        <v>218</v>
      </c>
    </row>
    <row r="294" spans="1:5" hidden="1" x14ac:dyDescent="0.2">
      <c r="A294">
        <v>400676835</v>
      </c>
      <c r="B294" t="s">
        <v>219</v>
      </c>
      <c r="C294" t="s">
        <v>1079</v>
      </c>
      <c r="D294" t="s">
        <v>218</v>
      </c>
      <c r="E294" t="s">
        <v>24</v>
      </c>
    </row>
    <row r="295" spans="1:5" hidden="1" x14ac:dyDescent="0.2">
      <c r="A295">
        <v>411160804</v>
      </c>
      <c r="B295" t="s">
        <v>219</v>
      </c>
      <c r="C295" t="s">
        <v>1077</v>
      </c>
      <c r="D295" t="s">
        <v>1080</v>
      </c>
      <c r="E295" t="s">
        <v>218</v>
      </c>
    </row>
    <row r="296" spans="1:5" hidden="1" x14ac:dyDescent="0.2">
      <c r="A296" t="s">
        <v>1081</v>
      </c>
      <c r="B296" t="s">
        <v>219</v>
      </c>
      <c r="C296" t="s">
        <v>1082</v>
      </c>
      <c r="D296" t="s">
        <v>1083</v>
      </c>
      <c r="E296" t="s">
        <v>218</v>
      </c>
    </row>
    <row r="297" spans="1:5" hidden="1" x14ac:dyDescent="0.2">
      <c r="A297" t="s">
        <v>1084</v>
      </c>
      <c r="B297" t="s">
        <v>219</v>
      </c>
      <c r="C297" t="s">
        <v>1082</v>
      </c>
      <c r="D297" t="s">
        <v>1085</v>
      </c>
      <c r="E297" t="s">
        <v>218</v>
      </c>
    </row>
    <row r="298" spans="1:5" hidden="1" x14ac:dyDescent="0.2">
      <c r="A298">
        <v>400264019</v>
      </c>
      <c r="B298" t="s">
        <v>167</v>
      </c>
      <c r="C298" t="s">
        <v>168</v>
      </c>
      <c r="D298" t="s">
        <v>1086</v>
      </c>
      <c r="E298" t="s">
        <v>166</v>
      </c>
    </row>
    <row r="299" spans="1:5" hidden="1" x14ac:dyDescent="0.2">
      <c r="A299">
        <v>401053474</v>
      </c>
      <c r="B299" t="s">
        <v>167</v>
      </c>
      <c r="C299" t="s">
        <v>168</v>
      </c>
      <c r="D299" t="s">
        <v>166</v>
      </c>
      <c r="E299" t="s">
        <v>24</v>
      </c>
    </row>
    <row r="300" spans="1:5" hidden="1" x14ac:dyDescent="0.2">
      <c r="A300">
        <v>401467134</v>
      </c>
      <c r="B300" t="s">
        <v>167</v>
      </c>
      <c r="C300" t="s">
        <v>1087</v>
      </c>
      <c r="D300" t="s">
        <v>1088</v>
      </c>
      <c r="E300" t="s">
        <v>166</v>
      </c>
    </row>
    <row r="301" spans="1:5" hidden="1" x14ac:dyDescent="0.2">
      <c r="A301" t="s">
        <v>1089</v>
      </c>
      <c r="B301" t="s">
        <v>167</v>
      </c>
      <c r="C301" t="s">
        <v>1090</v>
      </c>
      <c r="D301" t="s">
        <v>1091</v>
      </c>
      <c r="E301" t="s">
        <v>166</v>
      </c>
    </row>
    <row r="302" spans="1:5" hidden="1" x14ac:dyDescent="0.2">
      <c r="A302" t="s">
        <v>1092</v>
      </c>
      <c r="B302" t="s">
        <v>167</v>
      </c>
      <c r="C302" t="s">
        <v>1093</v>
      </c>
      <c r="D302" t="s">
        <v>1094</v>
      </c>
      <c r="E302" t="s">
        <v>166</v>
      </c>
    </row>
    <row r="303" spans="1:5" hidden="1" x14ac:dyDescent="0.2">
      <c r="A303" t="s">
        <v>1095</v>
      </c>
      <c r="B303" t="s">
        <v>167</v>
      </c>
      <c r="C303" t="s">
        <v>1096</v>
      </c>
      <c r="D303" t="s">
        <v>1097</v>
      </c>
      <c r="E303" t="s">
        <v>166</v>
      </c>
    </row>
    <row r="304" spans="1:5" hidden="1" x14ac:dyDescent="0.2">
      <c r="A304" t="s">
        <v>1098</v>
      </c>
      <c r="B304" t="s">
        <v>167</v>
      </c>
      <c r="C304" t="s">
        <v>1096</v>
      </c>
      <c r="D304" t="s">
        <v>1099</v>
      </c>
      <c r="E304" t="s">
        <v>166</v>
      </c>
    </row>
    <row r="305" spans="1:5" hidden="1" x14ac:dyDescent="0.2">
      <c r="A305" t="s">
        <v>1100</v>
      </c>
      <c r="B305" t="s">
        <v>167</v>
      </c>
      <c r="C305" t="s">
        <v>1101</v>
      </c>
      <c r="D305" t="s">
        <v>1102</v>
      </c>
      <c r="E305" t="s">
        <v>166</v>
      </c>
    </row>
    <row r="306" spans="1:5" hidden="1" x14ac:dyDescent="0.2">
      <c r="A306">
        <v>400265659</v>
      </c>
      <c r="B306" t="s">
        <v>185</v>
      </c>
      <c r="C306" t="s">
        <v>186</v>
      </c>
      <c r="D306" t="s">
        <v>1103</v>
      </c>
      <c r="E306" t="s">
        <v>184</v>
      </c>
    </row>
    <row r="307" spans="1:5" hidden="1" x14ac:dyDescent="0.2">
      <c r="A307">
        <v>401225492</v>
      </c>
      <c r="B307" t="s">
        <v>185</v>
      </c>
      <c r="C307" t="s">
        <v>186</v>
      </c>
      <c r="D307" t="s">
        <v>184</v>
      </c>
      <c r="E307" t="s">
        <v>24</v>
      </c>
    </row>
    <row r="308" spans="1:5" hidden="1" x14ac:dyDescent="0.2">
      <c r="A308">
        <v>411170217</v>
      </c>
      <c r="B308" t="s">
        <v>185</v>
      </c>
      <c r="C308" t="s">
        <v>186</v>
      </c>
      <c r="D308" t="s">
        <v>1104</v>
      </c>
      <c r="E308" t="s">
        <v>184</v>
      </c>
    </row>
    <row r="309" spans="1:5" hidden="1" x14ac:dyDescent="0.2">
      <c r="A309" t="s">
        <v>1105</v>
      </c>
      <c r="B309" t="s">
        <v>185</v>
      </c>
      <c r="C309" t="s">
        <v>1106</v>
      </c>
      <c r="D309" t="s">
        <v>1107</v>
      </c>
      <c r="E309" t="s">
        <v>184</v>
      </c>
    </row>
    <row r="310" spans="1:5" hidden="1" x14ac:dyDescent="0.2">
      <c r="A310" t="s">
        <v>1108</v>
      </c>
      <c r="B310" t="s">
        <v>185</v>
      </c>
      <c r="C310" t="s">
        <v>1106</v>
      </c>
      <c r="D310" t="s">
        <v>1109</v>
      </c>
      <c r="E310" t="s">
        <v>184</v>
      </c>
    </row>
    <row r="311" spans="1:5" hidden="1" x14ac:dyDescent="0.2">
      <c r="A311">
        <v>400265792</v>
      </c>
      <c r="B311" t="s">
        <v>208</v>
      </c>
      <c r="C311" t="s">
        <v>209</v>
      </c>
      <c r="D311" t="s">
        <v>207</v>
      </c>
      <c r="E311" t="s">
        <v>24</v>
      </c>
    </row>
    <row r="312" spans="1:5" hidden="1" x14ac:dyDescent="0.2">
      <c r="A312">
        <v>402515070</v>
      </c>
      <c r="B312" t="s">
        <v>208</v>
      </c>
      <c r="C312" t="s">
        <v>209</v>
      </c>
      <c r="D312" t="s">
        <v>1110</v>
      </c>
      <c r="E312" t="s">
        <v>207</v>
      </c>
    </row>
    <row r="313" spans="1:5" hidden="1" x14ac:dyDescent="0.2">
      <c r="A313" t="s">
        <v>1111</v>
      </c>
      <c r="B313" t="s">
        <v>208</v>
      </c>
      <c r="C313" t="s">
        <v>1112</v>
      </c>
      <c r="D313" t="s">
        <v>1113</v>
      </c>
      <c r="E313" t="s">
        <v>207</v>
      </c>
    </row>
    <row r="314" spans="1:5" hidden="1" x14ac:dyDescent="0.2">
      <c r="A314" t="s">
        <v>1114</v>
      </c>
      <c r="B314" t="s">
        <v>208</v>
      </c>
      <c r="C314" t="s">
        <v>1112</v>
      </c>
      <c r="D314" t="s">
        <v>1115</v>
      </c>
      <c r="E314" t="s">
        <v>207</v>
      </c>
    </row>
    <row r="315" spans="1:5" hidden="1" x14ac:dyDescent="0.2">
      <c r="A315">
        <v>400265809</v>
      </c>
      <c r="B315" t="s">
        <v>211</v>
      </c>
      <c r="C315" t="s">
        <v>212</v>
      </c>
      <c r="D315" t="s">
        <v>210</v>
      </c>
      <c r="E315" t="s">
        <v>24</v>
      </c>
    </row>
    <row r="316" spans="1:5" hidden="1" x14ac:dyDescent="0.2">
      <c r="A316">
        <v>411321346</v>
      </c>
      <c r="B316" t="s">
        <v>211</v>
      </c>
      <c r="C316" t="s">
        <v>212</v>
      </c>
      <c r="D316" t="s">
        <v>1116</v>
      </c>
      <c r="E316" t="s">
        <v>210</v>
      </c>
    </row>
    <row r="317" spans="1:5" hidden="1" x14ac:dyDescent="0.2">
      <c r="A317" t="s">
        <v>1117</v>
      </c>
      <c r="B317" t="s">
        <v>211</v>
      </c>
      <c r="C317" t="s">
        <v>1118</v>
      </c>
      <c r="D317" t="s">
        <v>1119</v>
      </c>
      <c r="E317" t="s">
        <v>210</v>
      </c>
    </row>
    <row r="318" spans="1:5" hidden="1" x14ac:dyDescent="0.2">
      <c r="A318" t="s">
        <v>1120</v>
      </c>
      <c r="B318" t="s">
        <v>211</v>
      </c>
      <c r="C318" t="s">
        <v>1118</v>
      </c>
      <c r="D318" t="s">
        <v>1121</v>
      </c>
      <c r="E318" t="s">
        <v>210</v>
      </c>
    </row>
    <row r="319" spans="1:5" hidden="1" x14ac:dyDescent="0.2">
      <c r="A319">
        <v>400271772</v>
      </c>
      <c r="B319" t="s">
        <v>170</v>
      </c>
      <c r="C319" t="s">
        <v>171</v>
      </c>
      <c r="D319" t="s">
        <v>169</v>
      </c>
      <c r="E319" t="s">
        <v>1122</v>
      </c>
    </row>
    <row r="320" spans="1:5" hidden="1" x14ac:dyDescent="0.2">
      <c r="A320">
        <v>401236801</v>
      </c>
      <c r="B320" t="s">
        <v>170</v>
      </c>
      <c r="C320" t="s">
        <v>171</v>
      </c>
      <c r="D320" t="s">
        <v>1122</v>
      </c>
      <c r="E320" t="s">
        <v>24</v>
      </c>
    </row>
    <row r="321" spans="1:5" hidden="1" x14ac:dyDescent="0.2">
      <c r="A321" t="s">
        <v>1123</v>
      </c>
      <c r="B321" t="s">
        <v>170</v>
      </c>
      <c r="C321" t="s">
        <v>1124</v>
      </c>
      <c r="D321" t="s">
        <v>1125</v>
      </c>
      <c r="E321" t="s">
        <v>1122</v>
      </c>
    </row>
    <row r="322" spans="1:5" hidden="1" x14ac:dyDescent="0.2">
      <c r="A322">
        <v>400271956</v>
      </c>
      <c r="B322" t="s">
        <v>179</v>
      </c>
      <c r="C322" t="s">
        <v>180</v>
      </c>
      <c r="D322" t="s">
        <v>1126</v>
      </c>
      <c r="E322" t="s">
        <v>178</v>
      </c>
    </row>
    <row r="323" spans="1:5" hidden="1" x14ac:dyDescent="0.2">
      <c r="A323">
        <v>403690601</v>
      </c>
      <c r="B323" t="s">
        <v>179</v>
      </c>
      <c r="C323" t="s">
        <v>180</v>
      </c>
      <c r="D323" t="s">
        <v>178</v>
      </c>
      <c r="E323" t="s">
        <v>24</v>
      </c>
    </row>
    <row r="324" spans="1:5" hidden="1" x14ac:dyDescent="0.2">
      <c r="A324" t="s">
        <v>1127</v>
      </c>
      <c r="B324" t="s">
        <v>179</v>
      </c>
      <c r="C324" t="s">
        <v>1128</v>
      </c>
      <c r="D324" t="s">
        <v>1129</v>
      </c>
      <c r="E324" t="s">
        <v>178</v>
      </c>
    </row>
    <row r="325" spans="1:5" hidden="1" x14ac:dyDescent="0.2">
      <c r="A325">
        <v>400265733</v>
      </c>
      <c r="B325" t="s">
        <v>191</v>
      </c>
      <c r="C325" t="s">
        <v>192</v>
      </c>
      <c r="D325" t="s">
        <v>1130</v>
      </c>
      <c r="E325" t="s">
        <v>190</v>
      </c>
    </row>
    <row r="326" spans="1:5" hidden="1" x14ac:dyDescent="0.2">
      <c r="A326">
        <v>400693204</v>
      </c>
      <c r="B326" t="s">
        <v>191</v>
      </c>
      <c r="C326" t="s">
        <v>192</v>
      </c>
      <c r="D326" t="s">
        <v>190</v>
      </c>
      <c r="E326" t="s">
        <v>24</v>
      </c>
    </row>
    <row r="327" spans="1:5" hidden="1" x14ac:dyDescent="0.2">
      <c r="A327">
        <v>411170284</v>
      </c>
      <c r="B327" t="s">
        <v>191</v>
      </c>
      <c r="C327" t="s">
        <v>192</v>
      </c>
      <c r="D327" t="s">
        <v>1131</v>
      </c>
      <c r="E327" t="s">
        <v>190</v>
      </c>
    </row>
    <row r="328" spans="1:5" hidden="1" x14ac:dyDescent="0.2">
      <c r="A328" t="s">
        <v>1132</v>
      </c>
      <c r="B328" t="s">
        <v>191</v>
      </c>
      <c r="C328" t="s">
        <v>1133</v>
      </c>
      <c r="D328" t="s">
        <v>1134</v>
      </c>
      <c r="E328" t="s">
        <v>190</v>
      </c>
    </row>
    <row r="329" spans="1:5" hidden="1" x14ac:dyDescent="0.2">
      <c r="A329" t="s">
        <v>1135</v>
      </c>
      <c r="B329" t="s">
        <v>191</v>
      </c>
      <c r="C329" t="s">
        <v>1133</v>
      </c>
      <c r="D329" t="s">
        <v>1136</v>
      </c>
      <c r="E329" t="s">
        <v>190</v>
      </c>
    </row>
    <row r="330" spans="1:5" hidden="1" x14ac:dyDescent="0.2">
      <c r="A330" t="s">
        <v>1137</v>
      </c>
      <c r="B330" t="s">
        <v>191</v>
      </c>
      <c r="C330" t="s">
        <v>1138</v>
      </c>
      <c r="D330" t="s">
        <v>1139</v>
      </c>
      <c r="E330" t="s">
        <v>190</v>
      </c>
    </row>
    <row r="331" spans="1:5" hidden="1" x14ac:dyDescent="0.2">
      <c r="A331">
        <v>400272339</v>
      </c>
      <c r="B331" t="s">
        <v>194</v>
      </c>
      <c r="C331" t="s">
        <v>1140</v>
      </c>
      <c r="D331" t="s">
        <v>193</v>
      </c>
      <c r="E331" t="s">
        <v>1141</v>
      </c>
    </row>
    <row r="332" spans="1:5" hidden="1" x14ac:dyDescent="0.2">
      <c r="A332">
        <v>400700884</v>
      </c>
      <c r="B332" t="s">
        <v>194</v>
      </c>
      <c r="C332" t="s">
        <v>1140</v>
      </c>
      <c r="D332" t="s">
        <v>1141</v>
      </c>
      <c r="E332" t="s">
        <v>24</v>
      </c>
    </row>
    <row r="333" spans="1:5" hidden="1" x14ac:dyDescent="0.2">
      <c r="A333" t="s">
        <v>1142</v>
      </c>
      <c r="B333" t="s">
        <v>194</v>
      </c>
      <c r="C333" t="s">
        <v>1143</v>
      </c>
      <c r="D333" t="s">
        <v>1144</v>
      </c>
      <c r="E333" t="s">
        <v>1141</v>
      </c>
    </row>
    <row r="334" spans="1:5" hidden="1" x14ac:dyDescent="0.2">
      <c r="A334" t="s">
        <v>1145</v>
      </c>
      <c r="B334" t="s">
        <v>194</v>
      </c>
      <c r="C334" t="s">
        <v>1143</v>
      </c>
      <c r="D334" t="s">
        <v>1146</v>
      </c>
      <c r="E334" t="s">
        <v>1141</v>
      </c>
    </row>
    <row r="335" spans="1:5" hidden="1" x14ac:dyDescent="0.2">
      <c r="A335">
        <v>400272820</v>
      </c>
      <c r="B335" t="s">
        <v>214</v>
      </c>
      <c r="C335" t="s">
        <v>1147</v>
      </c>
      <c r="D335" t="s">
        <v>1148</v>
      </c>
      <c r="E335" t="s">
        <v>213</v>
      </c>
    </row>
    <row r="336" spans="1:5" hidden="1" x14ac:dyDescent="0.2">
      <c r="A336">
        <v>408369023</v>
      </c>
      <c r="B336" t="s">
        <v>214</v>
      </c>
      <c r="C336" t="s">
        <v>1147</v>
      </c>
      <c r="D336" t="s">
        <v>213</v>
      </c>
      <c r="E336" t="s">
        <v>24</v>
      </c>
    </row>
    <row r="337" spans="1:5" hidden="1" x14ac:dyDescent="0.2">
      <c r="A337" t="s">
        <v>1149</v>
      </c>
      <c r="B337" t="s">
        <v>214</v>
      </c>
      <c r="C337" t="s">
        <v>1150</v>
      </c>
      <c r="D337" t="s">
        <v>1151</v>
      </c>
      <c r="E337" t="s">
        <v>213</v>
      </c>
    </row>
    <row r="338" spans="1:5" hidden="1" x14ac:dyDescent="0.2">
      <c r="A338" t="s">
        <v>1152</v>
      </c>
      <c r="B338" t="s">
        <v>214</v>
      </c>
      <c r="C338" t="s">
        <v>1150</v>
      </c>
      <c r="D338" t="s">
        <v>1153</v>
      </c>
      <c r="E338" t="s">
        <v>213</v>
      </c>
    </row>
    <row r="339" spans="1:5" hidden="1" x14ac:dyDescent="0.2">
      <c r="A339">
        <v>400265787</v>
      </c>
      <c r="B339" t="s">
        <v>202</v>
      </c>
      <c r="C339" t="s">
        <v>203</v>
      </c>
      <c r="D339" t="s">
        <v>1154</v>
      </c>
      <c r="E339" t="s">
        <v>201</v>
      </c>
    </row>
    <row r="340" spans="1:5" hidden="1" x14ac:dyDescent="0.2">
      <c r="A340">
        <v>402134268</v>
      </c>
      <c r="B340" t="s">
        <v>202</v>
      </c>
      <c r="C340" t="s">
        <v>203</v>
      </c>
      <c r="D340" t="s">
        <v>201</v>
      </c>
      <c r="E340" t="s">
        <v>24</v>
      </c>
    </row>
    <row r="341" spans="1:5" hidden="1" x14ac:dyDescent="0.2">
      <c r="A341">
        <v>411160668</v>
      </c>
      <c r="B341" t="s">
        <v>202</v>
      </c>
      <c r="C341" t="s">
        <v>203</v>
      </c>
      <c r="D341" t="s">
        <v>1155</v>
      </c>
      <c r="E341" t="s">
        <v>201</v>
      </c>
    </row>
    <row r="342" spans="1:5" hidden="1" x14ac:dyDescent="0.2">
      <c r="A342" t="s">
        <v>1156</v>
      </c>
      <c r="B342" t="s">
        <v>202</v>
      </c>
      <c r="C342" t="s">
        <v>1157</v>
      </c>
      <c r="D342" t="s">
        <v>1158</v>
      </c>
      <c r="E342" t="s">
        <v>201</v>
      </c>
    </row>
    <row r="343" spans="1:5" hidden="1" x14ac:dyDescent="0.2">
      <c r="A343" t="s">
        <v>1159</v>
      </c>
      <c r="B343" t="s">
        <v>202</v>
      </c>
      <c r="C343" t="s">
        <v>1157</v>
      </c>
      <c r="D343" t="s">
        <v>1160</v>
      </c>
      <c r="E343" t="s">
        <v>201</v>
      </c>
    </row>
    <row r="344" spans="1:5" hidden="1" x14ac:dyDescent="0.2">
      <c r="A344">
        <v>400265677</v>
      </c>
      <c r="B344" t="s">
        <v>188</v>
      </c>
      <c r="C344" t="s">
        <v>189</v>
      </c>
      <c r="D344" t="s">
        <v>1161</v>
      </c>
      <c r="E344" t="s">
        <v>187</v>
      </c>
    </row>
    <row r="345" spans="1:5" hidden="1" x14ac:dyDescent="0.2">
      <c r="A345">
        <v>401234950</v>
      </c>
      <c r="B345" t="s">
        <v>188</v>
      </c>
      <c r="C345" t="s">
        <v>189</v>
      </c>
      <c r="D345" t="s">
        <v>187</v>
      </c>
      <c r="E345" t="s">
        <v>24</v>
      </c>
    </row>
    <row r="346" spans="1:5" hidden="1" x14ac:dyDescent="0.2">
      <c r="A346">
        <v>411170239</v>
      </c>
      <c r="B346" t="s">
        <v>188</v>
      </c>
      <c r="C346" t="s">
        <v>189</v>
      </c>
      <c r="D346" t="s">
        <v>1162</v>
      </c>
      <c r="E346" t="s">
        <v>187</v>
      </c>
    </row>
    <row r="347" spans="1:5" hidden="1" x14ac:dyDescent="0.2">
      <c r="A347" t="s">
        <v>1163</v>
      </c>
      <c r="B347" t="s">
        <v>188</v>
      </c>
      <c r="C347" t="s">
        <v>1164</v>
      </c>
      <c r="D347" t="s">
        <v>1165</v>
      </c>
      <c r="E347" t="s">
        <v>187</v>
      </c>
    </row>
    <row r="348" spans="1:5" hidden="1" x14ac:dyDescent="0.2">
      <c r="A348" t="s">
        <v>1166</v>
      </c>
      <c r="B348" t="s">
        <v>188</v>
      </c>
      <c r="C348" t="s">
        <v>1167</v>
      </c>
      <c r="D348" t="s">
        <v>1168</v>
      </c>
      <c r="E348" t="s">
        <v>187</v>
      </c>
    </row>
    <row r="349" spans="1:5" hidden="1" x14ac:dyDescent="0.2">
      <c r="A349" t="s">
        <v>1169</v>
      </c>
      <c r="B349" t="s">
        <v>188</v>
      </c>
      <c r="C349" t="s">
        <v>1164</v>
      </c>
      <c r="D349" t="s">
        <v>1170</v>
      </c>
      <c r="E349" t="s">
        <v>187</v>
      </c>
    </row>
    <row r="350" spans="1:5" hidden="1" x14ac:dyDescent="0.2">
      <c r="A350">
        <v>400272402</v>
      </c>
      <c r="B350" t="s">
        <v>199</v>
      </c>
      <c r="C350" t="s">
        <v>200</v>
      </c>
      <c r="D350" t="s">
        <v>198</v>
      </c>
      <c r="E350" t="s">
        <v>1171</v>
      </c>
    </row>
    <row r="351" spans="1:5" hidden="1" x14ac:dyDescent="0.2">
      <c r="A351">
        <v>400851216</v>
      </c>
      <c r="B351" t="s">
        <v>199</v>
      </c>
      <c r="C351" t="s">
        <v>200</v>
      </c>
      <c r="D351" t="s">
        <v>1171</v>
      </c>
      <c r="E351" t="s">
        <v>24</v>
      </c>
    </row>
    <row r="352" spans="1:5" hidden="1" x14ac:dyDescent="0.2">
      <c r="A352" t="s">
        <v>1172</v>
      </c>
      <c r="B352" t="s">
        <v>199</v>
      </c>
      <c r="C352" t="s">
        <v>1173</v>
      </c>
      <c r="D352" t="s">
        <v>1174</v>
      </c>
      <c r="E352" t="s">
        <v>1171</v>
      </c>
    </row>
    <row r="353" spans="1:5" hidden="1" x14ac:dyDescent="0.2">
      <c r="A353">
        <v>400249347</v>
      </c>
      <c r="B353" t="s">
        <v>224</v>
      </c>
      <c r="C353" t="s">
        <v>225</v>
      </c>
      <c r="D353" t="s">
        <v>223</v>
      </c>
      <c r="E353" t="s">
        <v>24</v>
      </c>
    </row>
    <row r="354" spans="1:5" hidden="1" x14ac:dyDescent="0.2">
      <c r="A354" t="s">
        <v>1175</v>
      </c>
      <c r="B354" t="s">
        <v>224</v>
      </c>
      <c r="C354" t="s">
        <v>1176</v>
      </c>
      <c r="D354" t="s">
        <v>1177</v>
      </c>
      <c r="E354" t="s">
        <v>223</v>
      </c>
    </row>
    <row r="355" spans="1:5" hidden="1" x14ac:dyDescent="0.2">
      <c r="A355" t="s">
        <v>1178</v>
      </c>
      <c r="B355" t="s">
        <v>224</v>
      </c>
      <c r="C355" t="s">
        <v>1176</v>
      </c>
      <c r="D355" t="s">
        <v>1179</v>
      </c>
      <c r="E355" t="s">
        <v>223</v>
      </c>
    </row>
    <row r="356" spans="1:5" hidden="1" x14ac:dyDescent="0.2">
      <c r="A356">
        <v>400249794</v>
      </c>
      <c r="B356" t="s">
        <v>161</v>
      </c>
      <c r="C356" t="s">
        <v>162</v>
      </c>
      <c r="D356" t="s">
        <v>1180</v>
      </c>
      <c r="E356" t="s">
        <v>160</v>
      </c>
    </row>
    <row r="357" spans="1:5" hidden="1" x14ac:dyDescent="0.2">
      <c r="A357">
        <v>400693196</v>
      </c>
      <c r="B357" t="s">
        <v>161</v>
      </c>
      <c r="C357" t="s">
        <v>162</v>
      </c>
      <c r="D357" t="s">
        <v>160</v>
      </c>
      <c r="E357" t="s">
        <v>24</v>
      </c>
    </row>
    <row r="358" spans="1:5" hidden="1" x14ac:dyDescent="0.2">
      <c r="A358" t="s">
        <v>1181</v>
      </c>
      <c r="B358" t="s">
        <v>161</v>
      </c>
      <c r="C358" t="s">
        <v>1182</v>
      </c>
      <c r="D358" t="s">
        <v>1183</v>
      </c>
      <c r="E358" t="s">
        <v>160</v>
      </c>
    </row>
    <row r="359" spans="1:5" hidden="1" x14ac:dyDescent="0.2">
      <c r="A359" t="s">
        <v>1184</v>
      </c>
      <c r="B359" t="s">
        <v>161</v>
      </c>
      <c r="C359" t="s">
        <v>1182</v>
      </c>
      <c r="D359" t="s">
        <v>1185</v>
      </c>
      <c r="E359" t="s">
        <v>160</v>
      </c>
    </row>
    <row r="360" spans="1:5" hidden="1" x14ac:dyDescent="0.2">
      <c r="A360" t="s">
        <v>1186</v>
      </c>
      <c r="B360" t="s">
        <v>161</v>
      </c>
      <c r="C360" t="s">
        <v>1187</v>
      </c>
      <c r="D360" t="s">
        <v>1188</v>
      </c>
      <c r="E360" t="s">
        <v>160</v>
      </c>
    </row>
    <row r="361" spans="1:5" hidden="1" x14ac:dyDescent="0.2">
      <c r="A361" t="s">
        <v>1189</v>
      </c>
      <c r="B361" t="s">
        <v>161</v>
      </c>
      <c r="C361" t="s">
        <v>1187</v>
      </c>
      <c r="D361" t="s">
        <v>1190</v>
      </c>
      <c r="E361" t="s">
        <v>160</v>
      </c>
    </row>
    <row r="362" spans="1:5" hidden="1" x14ac:dyDescent="0.2">
      <c r="A362">
        <v>400265789</v>
      </c>
      <c r="B362" t="s">
        <v>205</v>
      </c>
      <c r="C362" t="s">
        <v>206</v>
      </c>
      <c r="D362" t="s">
        <v>1191</v>
      </c>
      <c r="E362" t="s">
        <v>204</v>
      </c>
    </row>
    <row r="363" spans="1:5" hidden="1" x14ac:dyDescent="0.2">
      <c r="A363">
        <v>401468750</v>
      </c>
      <c r="B363" t="s">
        <v>205</v>
      </c>
      <c r="C363" t="s">
        <v>206</v>
      </c>
      <c r="D363" t="s">
        <v>204</v>
      </c>
      <c r="E363" t="s">
        <v>24</v>
      </c>
    </row>
    <row r="364" spans="1:5" hidden="1" x14ac:dyDescent="0.2">
      <c r="A364">
        <v>411160670</v>
      </c>
      <c r="B364" t="s">
        <v>205</v>
      </c>
      <c r="C364" t="s">
        <v>206</v>
      </c>
      <c r="D364" t="s">
        <v>1192</v>
      </c>
      <c r="E364" t="s">
        <v>204</v>
      </c>
    </row>
    <row r="365" spans="1:5" hidden="1" x14ac:dyDescent="0.2">
      <c r="A365">
        <v>417221869</v>
      </c>
      <c r="B365" t="s">
        <v>205</v>
      </c>
      <c r="C365" t="s">
        <v>206</v>
      </c>
      <c r="D365" t="s">
        <v>1193</v>
      </c>
      <c r="E365" t="s">
        <v>204</v>
      </c>
    </row>
    <row r="366" spans="1:5" hidden="1" x14ac:dyDescent="0.2">
      <c r="A366" t="s">
        <v>1194</v>
      </c>
      <c r="B366" t="s">
        <v>205</v>
      </c>
      <c r="C366" t="s">
        <v>1195</v>
      </c>
      <c r="D366" t="s">
        <v>1196</v>
      </c>
      <c r="E366" t="s">
        <v>204</v>
      </c>
    </row>
    <row r="367" spans="1:5" hidden="1" x14ac:dyDescent="0.2">
      <c r="A367" t="s">
        <v>1197</v>
      </c>
      <c r="B367" t="s">
        <v>205</v>
      </c>
      <c r="C367" t="s">
        <v>1198</v>
      </c>
      <c r="D367" t="s">
        <v>1199</v>
      </c>
      <c r="E367" t="s">
        <v>204</v>
      </c>
    </row>
    <row r="368" spans="1:5" hidden="1" x14ac:dyDescent="0.2">
      <c r="A368" t="s">
        <v>1200</v>
      </c>
      <c r="B368" t="s">
        <v>205</v>
      </c>
      <c r="C368" t="s">
        <v>1195</v>
      </c>
      <c r="D368" t="s">
        <v>1201</v>
      </c>
      <c r="E368" t="s">
        <v>204</v>
      </c>
    </row>
    <row r="369" spans="1:5" hidden="1" x14ac:dyDescent="0.2">
      <c r="A369">
        <v>400249984</v>
      </c>
      <c r="B369" t="s">
        <v>182</v>
      </c>
      <c r="C369" t="s">
        <v>183</v>
      </c>
      <c r="D369" t="s">
        <v>1202</v>
      </c>
      <c r="E369" t="s">
        <v>181</v>
      </c>
    </row>
    <row r="370" spans="1:5" hidden="1" x14ac:dyDescent="0.2">
      <c r="A370">
        <v>401007782</v>
      </c>
      <c r="B370" t="s">
        <v>182</v>
      </c>
      <c r="C370" t="s">
        <v>183</v>
      </c>
      <c r="D370" t="s">
        <v>181</v>
      </c>
      <c r="E370" t="s">
        <v>24</v>
      </c>
    </row>
    <row r="371" spans="1:5" hidden="1" x14ac:dyDescent="0.2">
      <c r="A371">
        <v>403808004</v>
      </c>
      <c r="B371" t="s">
        <v>182</v>
      </c>
      <c r="C371" t="s">
        <v>1203</v>
      </c>
      <c r="D371" t="s">
        <v>1204</v>
      </c>
      <c r="E371" t="s">
        <v>181</v>
      </c>
    </row>
    <row r="372" spans="1:5" hidden="1" x14ac:dyDescent="0.2">
      <c r="A372" t="s">
        <v>1205</v>
      </c>
      <c r="B372" t="s">
        <v>182</v>
      </c>
      <c r="C372" t="s">
        <v>1206</v>
      </c>
      <c r="D372" t="s">
        <v>1207</v>
      </c>
      <c r="E372" t="s">
        <v>181</v>
      </c>
    </row>
    <row r="373" spans="1:5" hidden="1" x14ac:dyDescent="0.2">
      <c r="A373" t="s">
        <v>1208</v>
      </c>
      <c r="B373" t="s">
        <v>182</v>
      </c>
      <c r="C373" t="s">
        <v>1209</v>
      </c>
      <c r="D373" t="s">
        <v>1210</v>
      </c>
      <c r="E373" t="s">
        <v>181</v>
      </c>
    </row>
    <row r="374" spans="1:5" hidden="1" x14ac:dyDescent="0.2">
      <c r="A374" t="s">
        <v>1211</v>
      </c>
      <c r="B374" t="s">
        <v>182</v>
      </c>
      <c r="C374" t="s">
        <v>1206</v>
      </c>
      <c r="D374" t="s">
        <v>1212</v>
      </c>
      <c r="E374" t="s">
        <v>181</v>
      </c>
    </row>
    <row r="375" spans="1:5" hidden="1" x14ac:dyDescent="0.2">
      <c r="A375">
        <v>400249974</v>
      </c>
      <c r="B375" t="s">
        <v>164</v>
      </c>
      <c r="C375" t="s">
        <v>165</v>
      </c>
      <c r="D375" t="s">
        <v>1213</v>
      </c>
      <c r="E375" t="s">
        <v>163</v>
      </c>
    </row>
    <row r="376" spans="1:5" hidden="1" x14ac:dyDescent="0.2">
      <c r="A376">
        <v>400693201</v>
      </c>
      <c r="B376" t="s">
        <v>164</v>
      </c>
      <c r="C376" t="s">
        <v>165</v>
      </c>
      <c r="D376" t="s">
        <v>163</v>
      </c>
      <c r="E376" t="s">
        <v>24</v>
      </c>
    </row>
    <row r="377" spans="1:5" hidden="1" x14ac:dyDescent="0.2">
      <c r="A377">
        <v>411170157</v>
      </c>
      <c r="B377" t="s">
        <v>164</v>
      </c>
      <c r="C377" t="s">
        <v>165</v>
      </c>
      <c r="D377" t="s">
        <v>1214</v>
      </c>
      <c r="E377" t="s">
        <v>163</v>
      </c>
    </row>
    <row r="378" spans="1:5" hidden="1" x14ac:dyDescent="0.2">
      <c r="A378" t="s">
        <v>1215</v>
      </c>
      <c r="B378" t="s">
        <v>164</v>
      </c>
      <c r="C378" t="s">
        <v>1216</v>
      </c>
      <c r="D378" t="s">
        <v>1217</v>
      </c>
      <c r="E378" t="s">
        <v>163</v>
      </c>
    </row>
    <row r="379" spans="1:5" hidden="1" x14ac:dyDescent="0.2">
      <c r="A379" t="s">
        <v>1218</v>
      </c>
      <c r="B379" t="s">
        <v>164</v>
      </c>
      <c r="C379" t="s">
        <v>1219</v>
      </c>
      <c r="D379" t="s">
        <v>1220</v>
      </c>
      <c r="E379" t="s">
        <v>163</v>
      </c>
    </row>
    <row r="380" spans="1:5" hidden="1" x14ac:dyDescent="0.2">
      <c r="A380" t="s">
        <v>1221</v>
      </c>
      <c r="B380" t="s">
        <v>164</v>
      </c>
      <c r="C380" t="s">
        <v>1222</v>
      </c>
      <c r="D380" t="s">
        <v>1223</v>
      </c>
      <c r="E380" t="s">
        <v>163</v>
      </c>
    </row>
    <row r="381" spans="1:5" hidden="1" x14ac:dyDescent="0.2">
      <c r="A381" t="s">
        <v>1224</v>
      </c>
      <c r="B381" t="s">
        <v>164</v>
      </c>
      <c r="C381" t="s">
        <v>1216</v>
      </c>
      <c r="D381" t="s">
        <v>1225</v>
      </c>
      <c r="E381" t="s">
        <v>163</v>
      </c>
    </row>
    <row r="382" spans="1:5" hidden="1" x14ac:dyDescent="0.2">
      <c r="A382">
        <v>400264060</v>
      </c>
      <c r="B382" t="s">
        <v>173</v>
      </c>
      <c r="C382" t="s">
        <v>174</v>
      </c>
      <c r="D382" t="s">
        <v>1226</v>
      </c>
      <c r="E382" t="s">
        <v>172</v>
      </c>
    </row>
    <row r="383" spans="1:5" hidden="1" x14ac:dyDescent="0.2">
      <c r="A383">
        <v>400693203</v>
      </c>
      <c r="B383" t="s">
        <v>173</v>
      </c>
      <c r="C383" t="s">
        <v>174</v>
      </c>
      <c r="D383" t="s">
        <v>172</v>
      </c>
      <c r="E383" t="s">
        <v>24</v>
      </c>
    </row>
    <row r="384" spans="1:5" hidden="1" x14ac:dyDescent="0.2">
      <c r="A384" t="s">
        <v>1227</v>
      </c>
      <c r="B384" t="s">
        <v>173</v>
      </c>
      <c r="C384" t="s">
        <v>1228</v>
      </c>
      <c r="D384" t="s">
        <v>1229</v>
      </c>
      <c r="E384" t="s">
        <v>172</v>
      </c>
    </row>
    <row r="385" spans="1:5" hidden="1" x14ac:dyDescent="0.2">
      <c r="A385" t="s">
        <v>1230</v>
      </c>
      <c r="B385" t="s">
        <v>173</v>
      </c>
      <c r="C385" t="s">
        <v>1231</v>
      </c>
      <c r="D385" t="s">
        <v>1232</v>
      </c>
      <c r="E385" t="s">
        <v>172</v>
      </c>
    </row>
    <row r="386" spans="1:5" hidden="1" x14ac:dyDescent="0.2">
      <c r="A386" t="s">
        <v>1233</v>
      </c>
      <c r="B386" t="s">
        <v>173</v>
      </c>
      <c r="C386" t="s">
        <v>1228</v>
      </c>
      <c r="D386" t="s">
        <v>1234</v>
      </c>
      <c r="E386" t="s">
        <v>172</v>
      </c>
    </row>
    <row r="387" spans="1:5" hidden="1" x14ac:dyDescent="0.2">
      <c r="A387">
        <v>400272346</v>
      </c>
      <c r="B387" t="s">
        <v>196</v>
      </c>
      <c r="C387" t="s">
        <v>197</v>
      </c>
      <c r="D387" t="s">
        <v>1235</v>
      </c>
      <c r="E387" t="s">
        <v>195</v>
      </c>
    </row>
    <row r="388" spans="1:5" hidden="1" x14ac:dyDescent="0.2">
      <c r="A388">
        <v>401234952</v>
      </c>
      <c r="B388" t="s">
        <v>196</v>
      </c>
      <c r="C388" t="s">
        <v>197</v>
      </c>
      <c r="D388" t="s">
        <v>195</v>
      </c>
      <c r="E388" t="s">
        <v>24</v>
      </c>
    </row>
    <row r="389" spans="1:5" hidden="1" x14ac:dyDescent="0.2">
      <c r="A389">
        <v>411160637</v>
      </c>
      <c r="B389" t="s">
        <v>196</v>
      </c>
      <c r="C389" t="s">
        <v>197</v>
      </c>
      <c r="D389" t="s">
        <v>1236</v>
      </c>
      <c r="E389" t="s">
        <v>195</v>
      </c>
    </row>
    <row r="390" spans="1:5" hidden="1" x14ac:dyDescent="0.2">
      <c r="A390" t="s">
        <v>1237</v>
      </c>
      <c r="B390" t="s">
        <v>196</v>
      </c>
      <c r="C390" t="s">
        <v>1238</v>
      </c>
      <c r="D390" t="s">
        <v>1239</v>
      </c>
      <c r="E390" t="s">
        <v>195</v>
      </c>
    </row>
    <row r="391" spans="1:5" hidden="1" x14ac:dyDescent="0.2">
      <c r="A391" t="s">
        <v>1240</v>
      </c>
      <c r="B391" t="s">
        <v>196</v>
      </c>
      <c r="C391" t="s">
        <v>1238</v>
      </c>
      <c r="D391" t="s">
        <v>1241</v>
      </c>
      <c r="E391" t="s">
        <v>195</v>
      </c>
    </row>
    <row r="392" spans="1:5" hidden="1" x14ac:dyDescent="0.2">
      <c r="A392">
        <v>400264202</v>
      </c>
      <c r="B392" t="s">
        <v>176</v>
      </c>
      <c r="C392" t="s">
        <v>177</v>
      </c>
      <c r="D392" t="s">
        <v>1242</v>
      </c>
      <c r="E392" t="s">
        <v>175</v>
      </c>
    </row>
    <row r="393" spans="1:5" hidden="1" x14ac:dyDescent="0.2">
      <c r="A393">
        <v>400931576</v>
      </c>
      <c r="B393" t="s">
        <v>176</v>
      </c>
      <c r="C393" t="s">
        <v>177</v>
      </c>
      <c r="D393" t="s">
        <v>175</v>
      </c>
      <c r="E393" t="s">
        <v>24</v>
      </c>
    </row>
    <row r="394" spans="1:5" hidden="1" x14ac:dyDescent="0.2">
      <c r="A394">
        <v>411170191</v>
      </c>
      <c r="B394" t="s">
        <v>176</v>
      </c>
      <c r="C394" t="s">
        <v>177</v>
      </c>
      <c r="D394" t="s">
        <v>1243</v>
      </c>
      <c r="E394" t="s">
        <v>175</v>
      </c>
    </row>
    <row r="395" spans="1:5" hidden="1" x14ac:dyDescent="0.2">
      <c r="A395" t="s">
        <v>1244</v>
      </c>
      <c r="B395" t="s">
        <v>176</v>
      </c>
      <c r="C395" t="s">
        <v>177</v>
      </c>
      <c r="D395" t="s">
        <v>1245</v>
      </c>
      <c r="E395" t="s">
        <v>175</v>
      </c>
    </row>
    <row r="396" spans="1:5" hidden="1" x14ac:dyDescent="0.2">
      <c r="A396" t="s">
        <v>1246</v>
      </c>
      <c r="B396" t="s">
        <v>176</v>
      </c>
      <c r="C396" t="s">
        <v>1247</v>
      </c>
      <c r="D396" t="s">
        <v>1248</v>
      </c>
      <c r="E396" t="s">
        <v>175</v>
      </c>
    </row>
    <row r="397" spans="1:5" hidden="1" x14ac:dyDescent="0.2">
      <c r="A397" t="s">
        <v>1249</v>
      </c>
      <c r="B397" t="s">
        <v>176</v>
      </c>
      <c r="C397" t="s">
        <v>1250</v>
      </c>
      <c r="D397" t="s">
        <v>1251</v>
      </c>
      <c r="E397" t="s">
        <v>175</v>
      </c>
    </row>
    <row r="398" spans="1:5" hidden="1" x14ac:dyDescent="0.2">
      <c r="A398" t="s">
        <v>1252</v>
      </c>
      <c r="B398" t="s">
        <v>176</v>
      </c>
      <c r="C398" t="s">
        <v>1253</v>
      </c>
      <c r="D398" t="s">
        <v>1254</v>
      </c>
      <c r="E398" t="s">
        <v>175</v>
      </c>
    </row>
    <row r="399" spans="1:5" hidden="1" x14ac:dyDescent="0.2">
      <c r="A399">
        <v>400249781</v>
      </c>
      <c r="B399" t="s">
        <v>146</v>
      </c>
      <c r="C399" t="s">
        <v>615</v>
      </c>
      <c r="D399" t="s">
        <v>614</v>
      </c>
      <c r="E399" t="s">
        <v>145</v>
      </c>
    </row>
    <row r="400" spans="1:5" hidden="1" x14ac:dyDescent="0.2">
      <c r="A400">
        <v>400656760</v>
      </c>
      <c r="B400" t="s">
        <v>146</v>
      </c>
      <c r="C400" t="s">
        <v>147</v>
      </c>
      <c r="D400" t="s">
        <v>145</v>
      </c>
      <c r="E400" t="s">
        <v>24</v>
      </c>
    </row>
    <row r="401" spans="1:5" hidden="1" x14ac:dyDescent="0.2">
      <c r="A401">
        <v>411170066</v>
      </c>
      <c r="B401" t="s">
        <v>146</v>
      </c>
      <c r="C401" t="s">
        <v>615</v>
      </c>
      <c r="D401" t="s">
        <v>1255</v>
      </c>
      <c r="E401" t="s">
        <v>145</v>
      </c>
    </row>
    <row r="402" spans="1:5" hidden="1" x14ac:dyDescent="0.2">
      <c r="A402" t="s">
        <v>1256</v>
      </c>
      <c r="B402" t="s">
        <v>146</v>
      </c>
      <c r="C402" t="s">
        <v>1257</v>
      </c>
      <c r="D402" t="s">
        <v>1258</v>
      </c>
      <c r="E402" t="s">
        <v>145</v>
      </c>
    </row>
    <row r="403" spans="1:5" hidden="1" x14ac:dyDescent="0.2">
      <c r="A403" t="s">
        <v>1259</v>
      </c>
      <c r="B403" t="s">
        <v>146</v>
      </c>
      <c r="C403" t="s">
        <v>615</v>
      </c>
      <c r="D403" t="s">
        <v>1260</v>
      </c>
      <c r="E403" t="s">
        <v>145</v>
      </c>
    </row>
    <row r="404" spans="1:5" hidden="1" x14ac:dyDescent="0.2">
      <c r="A404" t="s">
        <v>1261</v>
      </c>
      <c r="B404" t="s">
        <v>146</v>
      </c>
      <c r="C404" t="s">
        <v>1262</v>
      </c>
      <c r="D404" t="s">
        <v>1263</v>
      </c>
      <c r="E404" t="s">
        <v>145</v>
      </c>
    </row>
    <row r="405" spans="1:5" hidden="1" x14ac:dyDescent="0.2">
      <c r="A405">
        <v>400269456</v>
      </c>
      <c r="B405" t="s">
        <v>149</v>
      </c>
      <c r="C405" t="s">
        <v>150</v>
      </c>
      <c r="D405" t="s">
        <v>1264</v>
      </c>
      <c r="E405" t="s">
        <v>148</v>
      </c>
    </row>
    <row r="406" spans="1:5" hidden="1" x14ac:dyDescent="0.2">
      <c r="A406">
        <v>401239839</v>
      </c>
      <c r="B406" t="s">
        <v>149</v>
      </c>
      <c r="C406" t="s">
        <v>150</v>
      </c>
      <c r="D406" t="s">
        <v>148</v>
      </c>
      <c r="E406" t="s">
        <v>24</v>
      </c>
    </row>
    <row r="407" spans="1:5" hidden="1" x14ac:dyDescent="0.2">
      <c r="A407">
        <v>411170074</v>
      </c>
      <c r="B407" t="s">
        <v>149</v>
      </c>
      <c r="C407" t="s">
        <v>150</v>
      </c>
      <c r="D407" t="s">
        <v>1265</v>
      </c>
      <c r="E407" t="s">
        <v>148</v>
      </c>
    </row>
    <row r="408" spans="1:5" hidden="1" x14ac:dyDescent="0.2">
      <c r="A408">
        <v>417221865</v>
      </c>
      <c r="B408" t="s">
        <v>149</v>
      </c>
      <c r="C408" t="s">
        <v>150</v>
      </c>
      <c r="D408" t="s">
        <v>1266</v>
      </c>
      <c r="E408" t="s">
        <v>148</v>
      </c>
    </row>
    <row r="409" spans="1:5" hidden="1" x14ac:dyDescent="0.2">
      <c r="A409" t="s">
        <v>1267</v>
      </c>
      <c r="B409" t="s">
        <v>149</v>
      </c>
      <c r="C409" t="s">
        <v>1268</v>
      </c>
      <c r="D409" t="s">
        <v>1269</v>
      </c>
      <c r="E409" t="s">
        <v>148</v>
      </c>
    </row>
    <row r="410" spans="1:5" hidden="1" x14ac:dyDescent="0.2">
      <c r="A410" t="s">
        <v>1270</v>
      </c>
      <c r="B410" t="s">
        <v>149</v>
      </c>
      <c r="C410" t="s">
        <v>1268</v>
      </c>
      <c r="D410" t="s">
        <v>1271</v>
      </c>
      <c r="E410" t="s">
        <v>148</v>
      </c>
    </row>
    <row r="411" spans="1:5" hidden="1" x14ac:dyDescent="0.2">
      <c r="A411" t="s">
        <v>1272</v>
      </c>
      <c r="B411" t="s">
        <v>149</v>
      </c>
      <c r="C411" t="s">
        <v>1268</v>
      </c>
      <c r="D411" t="s">
        <v>1273</v>
      </c>
      <c r="E411" t="s">
        <v>148</v>
      </c>
    </row>
    <row r="412" spans="1:5" hidden="1" x14ac:dyDescent="0.2">
      <c r="A412">
        <v>400249778</v>
      </c>
      <c r="B412" t="s">
        <v>143</v>
      </c>
      <c r="C412" t="s">
        <v>1274</v>
      </c>
      <c r="D412" t="s">
        <v>1275</v>
      </c>
      <c r="E412" t="s">
        <v>142</v>
      </c>
    </row>
    <row r="413" spans="1:5" hidden="1" x14ac:dyDescent="0.2">
      <c r="A413">
        <v>400656755</v>
      </c>
      <c r="B413" t="s">
        <v>143</v>
      </c>
      <c r="C413" t="s">
        <v>144</v>
      </c>
      <c r="D413" t="s">
        <v>142</v>
      </c>
      <c r="E413" t="s">
        <v>24</v>
      </c>
    </row>
    <row r="414" spans="1:5" hidden="1" x14ac:dyDescent="0.2">
      <c r="A414">
        <v>411170047</v>
      </c>
      <c r="B414" t="s">
        <v>143</v>
      </c>
      <c r="C414" t="s">
        <v>144</v>
      </c>
      <c r="D414" t="s">
        <v>1276</v>
      </c>
      <c r="E414" t="s">
        <v>142</v>
      </c>
    </row>
    <row r="415" spans="1:5" hidden="1" x14ac:dyDescent="0.2">
      <c r="A415" t="s">
        <v>1277</v>
      </c>
      <c r="B415" t="s">
        <v>143</v>
      </c>
      <c r="C415" t="s">
        <v>1278</v>
      </c>
      <c r="D415" t="s">
        <v>1279</v>
      </c>
      <c r="E415" t="s">
        <v>142</v>
      </c>
    </row>
    <row r="416" spans="1:5" hidden="1" x14ac:dyDescent="0.2">
      <c r="A416" t="s">
        <v>1280</v>
      </c>
      <c r="B416" t="s">
        <v>143</v>
      </c>
      <c r="C416" t="s">
        <v>1281</v>
      </c>
      <c r="D416" t="s">
        <v>1282</v>
      </c>
      <c r="E416" t="s">
        <v>142</v>
      </c>
    </row>
    <row r="417" spans="1:5" hidden="1" x14ac:dyDescent="0.2">
      <c r="A417" t="s">
        <v>1283</v>
      </c>
      <c r="B417" t="s">
        <v>143</v>
      </c>
      <c r="C417" t="s">
        <v>1281</v>
      </c>
      <c r="D417" t="s">
        <v>1284</v>
      </c>
      <c r="E417" t="s">
        <v>142</v>
      </c>
    </row>
    <row r="418" spans="1:5" hidden="1" x14ac:dyDescent="0.2">
      <c r="A418" t="s">
        <v>1285</v>
      </c>
      <c r="B418" t="s">
        <v>143</v>
      </c>
      <c r="C418" t="s">
        <v>1281</v>
      </c>
      <c r="D418" t="s">
        <v>1286</v>
      </c>
      <c r="E418" t="s">
        <v>142</v>
      </c>
    </row>
    <row r="419" spans="1:5" hidden="1" x14ac:dyDescent="0.2">
      <c r="A419">
        <v>400039251</v>
      </c>
      <c r="B419" t="s">
        <v>216</v>
      </c>
      <c r="C419" t="s">
        <v>1287</v>
      </c>
      <c r="D419" t="s">
        <v>1288</v>
      </c>
      <c r="E419" t="s">
        <v>215</v>
      </c>
    </row>
    <row r="420" spans="1:5" hidden="1" x14ac:dyDescent="0.2">
      <c r="A420">
        <v>400266142</v>
      </c>
      <c r="B420" t="s">
        <v>216</v>
      </c>
      <c r="C420" t="s">
        <v>217</v>
      </c>
      <c r="D420" t="s">
        <v>1289</v>
      </c>
      <c r="E420" t="s">
        <v>215</v>
      </c>
    </row>
    <row r="421" spans="1:5" hidden="1" x14ac:dyDescent="0.2">
      <c r="A421">
        <v>400700886</v>
      </c>
      <c r="B421" t="s">
        <v>216</v>
      </c>
      <c r="C421" t="s">
        <v>217</v>
      </c>
      <c r="D421" t="s">
        <v>215</v>
      </c>
      <c r="E421" t="s">
        <v>24</v>
      </c>
    </row>
    <row r="422" spans="1:5" hidden="1" x14ac:dyDescent="0.2">
      <c r="A422">
        <v>401042459</v>
      </c>
      <c r="B422" t="s">
        <v>216</v>
      </c>
      <c r="C422" t="s">
        <v>217</v>
      </c>
      <c r="D422" t="s">
        <v>1290</v>
      </c>
      <c r="E422" t="s">
        <v>215</v>
      </c>
    </row>
    <row r="423" spans="1:5" hidden="1" x14ac:dyDescent="0.2">
      <c r="A423">
        <v>411160802</v>
      </c>
      <c r="B423" t="s">
        <v>216</v>
      </c>
      <c r="C423" t="s">
        <v>217</v>
      </c>
      <c r="D423" t="s">
        <v>1291</v>
      </c>
      <c r="E423" t="s">
        <v>215</v>
      </c>
    </row>
    <row r="424" spans="1:5" hidden="1" x14ac:dyDescent="0.2">
      <c r="A424">
        <v>417221877</v>
      </c>
      <c r="B424" t="s">
        <v>216</v>
      </c>
      <c r="C424" t="s">
        <v>159</v>
      </c>
      <c r="D424" t="s">
        <v>1292</v>
      </c>
      <c r="E424" t="s">
        <v>215</v>
      </c>
    </row>
    <row r="425" spans="1:5" hidden="1" x14ac:dyDescent="0.2">
      <c r="A425" t="s">
        <v>1293</v>
      </c>
      <c r="B425" t="s">
        <v>216</v>
      </c>
      <c r="C425" t="s">
        <v>1294</v>
      </c>
      <c r="D425" t="s">
        <v>1295</v>
      </c>
      <c r="E425" t="s">
        <v>215</v>
      </c>
    </row>
    <row r="426" spans="1:5" hidden="1" x14ac:dyDescent="0.2">
      <c r="A426" t="s">
        <v>1296</v>
      </c>
      <c r="B426" t="s">
        <v>216</v>
      </c>
      <c r="C426" t="s">
        <v>1297</v>
      </c>
      <c r="D426" t="s">
        <v>1298</v>
      </c>
      <c r="E426" t="s">
        <v>215</v>
      </c>
    </row>
    <row r="427" spans="1:5" hidden="1" x14ac:dyDescent="0.2">
      <c r="A427" t="s">
        <v>1299</v>
      </c>
      <c r="B427" t="s">
        <v>216</v>
      </c>
      <c r="C427" t="s">
        <v>1300</v>
      </c>
      <c r="D427" t="s">
        <v>1301</v>
      </c>
      <c r="E427" t="s">
        <v>215</v>
      </c>
    </row>
    <row r="428" spans="1:5" hidden="1" x14ac:dyDescent="0.2">
      <c r="A428" t="s">
        <v>1302</v>
      </c>
      <c r="B428" t="s">
        <v>216</v>
      </c>
      <c r="C428" t="s">
        <v>1300</v>
      </c>
      <c r="D428" t="s">
        <v>1303</v>
      </c>
      <c r="E428" t="s">
        <v>215</v>
      </c>
    </row>
    <row r="429" spans="1:5" hidden="1" x14ac:dyDescent="0.2">
      <c r="A429" t="s">
        <v>1304</v>
      </c>
      <c r="B429" t="s">
        <v>216</v>
      </c>
      <c r="C429" t="s">
        <v>1305</v>
      </c>
      <c r="D429" t="s">
        <v>1306</v>
      </c>
      <c r="E429" t="s">
        <v>215</v>
      </c>
    </row>
    <row r="430" spans="1:5" hidden="1" x14ac:dyDescent="0.2">
      <c r="A430" t="s">
        <v>1307</v>
      </c>
      <c r="B430" t="s">
        <v>216</v>
      </c>
      <c r="C430" t="s">
        <v>1297</v>
      </c>
      <c r="D430" t="s">
        <v>1308</v>
      </c>
      <c r="E430" t="s">
        <v>215</v>
      </c>
    </row>
    <row r="431" spans="1:5" hidden="1" x14ac:dyDescent="0.2">
      <c r="A431" t="s">
        <v>1309</v>
      </c>
      <c r="B431" t="s">
        <v>216</v>
      </c>
      <c r="C431" t="s">
        <v>1297</v>
      </c>
      <c r="D431" t="s">
        <v>1310</v>
      </c>
      <c r="E431" t="s">
        <v>215</v>
      </c>
    </row>
    <row r="432" spans="1:5" hidden="1" x14ac:dyDescent="0.2">
      <c r="A432" t="s">
        <v>1311</v>
      </c>
      <c r="B432" t="s">
        <v>216</v>
      </c>
      <c r="C432" t="s">
        <v>1312</v>
      </c>
      <c r="D432" t="s">
        <v>1313</v>
      </c>
      <c r="E432" t="s">
        <v>215</v>
      </c>
    </row>
    <row r="433" spans="1:5" hidden="1" x14ac:dyDescent="0.2">
      <c r="A433">
        <v>400012861</v>
      </c>
      <c r="B433" t="s">
        <v>158</v>
      </c>
      <c r="C433" t="s">
        <v>1314</v>
      </c>
      <c r="D433" t="s">
        <v>1315</v>
      </c>
      <c r="E433" t="s">
        <v>157</v>
      </c>
    </row>
    <row r="434" spans="1:5" hidden="1" x14ac:dyDescent="0.2">
      <c r="A434">
        <v>400264013</v>
      </c>
      <c r="B434" t="s">
        <v>158</v>
      </c>
      <c r="C434" t="s">
        <v>1314</v>
      </c>
      <c r="D434" t="s">
        <v>1316</v>
      </c>
      <c r="E434" t="s">
        <v>157</v>
      </c>
    </row>
    <row r="435" spans="1:5" hidden="1" x14ac:dyDescent="0.2">
      <c r="A435">
        <v>400679613</v>
      </c>
      <c r="B435" t="s">
        <v>158</v>
      </c>
      <c r="C435" t="s">
        <v>1317</v>
      </c>
      <c r="D435" t="s">
        <v>157</v>
      </c>
      <c r="E435" t="s">
        <v>24</v>
      </c>
    </row>
    <row r="436" spans="1:5" hidden="1" x14ac:dyDescent="0.2">
      <c r="A436">
        <v>411170156</v>
      </c>
      <c r="B436" t="s">
        <v>158</v>
      </c>
      <c r="C436" t="s">
        <v>159</v>
      </c>
      <c r="D436" t="s">
        <v>1318</v>
      </c>
      <c r="E436" t="s">
        <v>157</v>
      </c>
    </row>
    <row r="437" spans="1:5" hidden="1" x14ac:dyDescent="0.2">
      <c r="A437">
        <v>414700143</v>
      </c>
      <c r="B437" t="s">
        <v>158</v>
      </c>
      <c r="C437" t="s">
        <v>1319</v>
      </c>
      <c r="D437" t="s">
        <v>1320</v>
      </c>
      <c r="E437" t="s">
        <v>157</v>
      </c>
    </row>
    <row r="438" spans="1:5" hidden="1" x14ac:dyDescent="0.2">
      <c r="A438" t="s">
        <v>1321</v>
      </c>
      <c r="B438" t="s">
        <v>158</v>
      </c>
      <c r="C438" t="s">
        <v>1322</v>
      </c>
      <c r="D438" t="s">
        <v>1323</v>
      </c>
      <c r="E438" t="s">
        <v>157</v>
      </c>
    </row>
    <row r="439" spans="1:5" hidden="1" x14ac:dyDescent="0.2">
      <c r="A439" t="s">
        <v>1324</v>
      </c>
      <c r="B439" t="s">
        <v>158</v>
      </c>
      <c r="C439" t="s">
        <v>1325</v>
      </c>
      <c r="D439" t="s">
        <v>1326</v>
      </c>
      <c r="E439" t="s">
        <v>157</v>
      </c>
    </row>
    <row r="440" spans="1:5" hidden="1" x14ac:dyDescent="0.2">
      <c r="A440" t="s">
        <v>1327</v>
      </c>
      <c r="B440" t="s">
        <v>158</v>
      </c>
      <c r="C440" t="s">
        <v>1328</v>
      </c>
      <c r="D440" t="s">
        <v>1329</v>
      </c>
      <c r="E440" t="s">
        <v>157</v>
      </c>
    </row>
    <row r="441" spans="1:5" hidden="1" x14ac:dyDescent="0.2">
      <c r="A441" t="s">
        <v>1330</v>
      </c>
      <c r="B441" t="s">
        <v>158</v>
      </c>
      <c r="C441" t="s">
        <v>1328</v>
      </c>
      <c r="D441" t="s">
        <v>1331</v>
      </c>
      <c r="E441" t="s">
        <v>157</v>
      </c>
    </row>
    <row r="442" spans="1:5" hidden="1" x14ac:dyDescent="0.2">
      <c r="A442" t="s">
        <v>1332</v>
      </c>
      <c r="B442" t="s">
        <v>158</v>
      </c>
      <c r="C442" t="s">
        <v>1333</v>
      </c>
      <c r="D442" t="s">
        <v>1334</v>
      </c>
      <c r="E442" t="s">
        <v>157</v>
      </c>
    </row>
    <row r="443" spans="1:5" hidden="1" x14ac:dyDescent="0.2">
      <c r="A443" t="s">
        <v>1335</v>
      </c>
      <c r="B443" t="s">
        <v>158</v>
      </c>
      <c r="C443" t="s">
        <v>1314</v>
      </c>
      <c r="D443" t="s">
        <v>1336</v>
      </c>
      <c r="E443" t="s">
        <v>157</v>
      </c>
    </row>
    <row r="444" spans="1:5" hidden="1" x14ac:dyDescent="0.2">
      <c r="A444" t="s">
        <v>32</v>
      </c>
      <c r="B444" t="s">
        <v>33</v>
      </c>
      <c r="C444" t="s">
        <v>34</v>
      </c>
      <c r="D444" t="s">
        <v>31</v>
      </c>
      <c r="E444" t="s">
        <v>24</v>
      </c>
    </row>
    <row r="445" spans="1:5" hidden="1" x14ac:dyDescent="0.2">
      <c r="A445" t="s">
        <v>1337</v>
      </c>
      <c r="B445" t="s">
        <v>33</v>
      </c>
      <c r="C445" t="s">
        <v>34</v>
      </c>
      <c r="D445" t="s">
        <v>1338</v>
      </c>
      <c r="E445" t="s">
        <v>31</v>
      </c>
    </row>
    <row r="446" spans="1:5" hidden="1" x14ac:dyDescent="0.2">
      <c r="A446" t="s">
        <v>1339</v>
      </c>
      <c r="B446" t="s">
        <v>33</v>
      </c>
      <c r="C446" t="s">
        <v>34</v>
      </c>
      <c r="D446" t="s">
        <v>1340</v>
      </c>
      <c r="E446" t="s">
        <v>31</v>
      </c>
    </row>
    <row r="447" spans="1:5" hidden="1" x14ac:dyDescent="0.2">
      <c r="A447" t="s">
        <v>645</v>
      </c>
      <c r="B447" t="s">
        <v>646</v>
      </c>
      <c r="C447" t="s">
        <v>1341</v>
      </c>
      <c r="D447" t="s">
        <v>644</v>
      </c>
      <c r="E447" t="s">
        <v>24</v>
      </c>
    </row>
    <row r="448" spans="1:5" hidden="1" x14ac:dyDescent="0.2">
      <c r="A448" t="s">
        <v>1342</v>
      </c>
      <c r="B448" t="s">
        <v>646</v>
      </c>
      <c r="C448" t="s">
        <v>1343</v>
      </c>
      <c r="D448" t="s">
        <v>1344</v>
      </c>
      <c r="E448" t="s">
        <v>644</v>
      </c>
    </row>
    <row r="449" spans="1:5" hidden="1" x14ac:dyDescent="0.2">
      <c r="A449" t="s">
        <v>1345</v>
      </c>
      <c r="B449" t="s">
        <v>646</v>
      </c>
      <c r="C449" t="s">
        <v>1346</v>
      </c>
      <c r="D449" t="s">
        <v>1347</v>
      </c>
      <c r="E449" t="s">
        <v>644</v>
      </c>
    </row>
    <row r="450" spans="1:5" x14ac:dyDescent="0.2">
      <c r="A450">
        <v>407896482</v>
      </c>
      <c r="B450" t="s">
        <v>445</v>
      </c>
      <c r="C450" t="s">
        <v>1348</v>
      </c>
      <c r="D450" t="s">
        <v>1349</v>
      </c>
      <c r="E450" t="s">
        <v>24</v>
      </c>
    </row>
    <row r="451" spans="1:5" x14ac:dyDescent="0.2">
      <c r="A451" t="s">
        <v>1350</v>
      </c>
      <c r="B451" t="s">
        <v>445</v>
      </c>
      <c r="C451" t="s">
        <v>446</v>
      </c>
      <c r="D451" t="s">
        <v>1351</v>
      </c>
      <c r="E451" t="s">
        <v>1349</v>
      </c>
    </row>
    <row r="452" spans="1:5" x14ac:dyDescent="0.2">
      <c r="A452" t="s">
        <v>444</v>
      </c>
      <c r="B452" t="s">
        <v>445</v>
      </c>
      <c r="C452" t="s">
        <v>446</v>
      </c>
      <c r="D452" t="s">
        <v>443</v>
      </c>
      <c r="E452" t="s">
        <v>1349</v>
      </c>
    </row>
    <row r="453" spans="1:5" x14ac:dyDescent="0.2">
      <c r="A453" t="s">
        <v>1352</v>
      </c>
      <c r="B453" t="s">
        <v>445</v>
      </c>
      <c r="C453" t="s">
        <v>446</v>
      </c>
      <c r="D453" t="s">
        <v>1353</v>
      </c>
      <c r="E453" t="s">
        <v>1349</v>
      </c>
    </row>
    <row r="454" spans="1:5" x14ac:dyDescent="0.2">
      <c r="A454" t="s">
        <v>1354</v>
      </c>
      <c r="B454" t="s">
        <v>445</v>
      </c>
      <c r="C454" t="s">
        <v>446</v>
      </c>
      <c r="D454" t="s">
        <v>1355</v>
      </c>
      <c r="E454" t="s">
        <v>1349</v>
      </c>
    </row>
    <row r="455" spans="1:5" x14ac:dyDescent="0.2">
      <c r="A455" t="s">
        <v>1356</v>
      </c>
      <c r="B455" t="s">
        <v>445</v>
      </c>
      <c r="C455" t="s">
        <v>446</v>
      </c>
      <c r="D455">
        <v>627</v>
      </c>
      <c r="E455" t="s">
        <v>1349</v>
      </c>
    </row>
    <row r="456" spans="1:5" hidden="1" x14ac:dyDescent="0.2">
      <c r="A456" t="s">
        <v>586</v>
      </c>
      <c r="B456" t="s">
        <v>587</v>
      </c>
      <c r="C456" t="s">
        <v>588</v>
      </c>
      <c r="D456" t="s">
        <v>585</v>
      </c>
      <c r="E456" t="s">
        <v>24</v>
      </c>
    </row>
    <row r="457" spans="1:5" hidden="1" x14ac:dyDescent="0.2">
      <c r="A457" t="s">
        <v>1357</v>
      </c>
      <c r="B457" t="s">
        <v>587</v>
      </c>
      <c r="C457" t="s">
        <v>588</v>
      </c>
      <c r="D457" t="s">
        <v>1358</v>
      </c>
      <c r="E457" t="s">
        <v>585</v>
      </c>
    </row>
    <row r="458" spans="1:5" hidden="1" x14ac:dyDescent="0.2">
      <c r="A458" t="s">
        <v>1359</v>
      </c>
      <c r="B458" t="s">
        <v>597</v>
      </c>
      <c r="C458" t="s">
        <v>1360</v>
      </c>
      <c r="D458" t="s">
        <v>1361</v>
      </c>
      <c r="E458" t="s">
        <v>24</v>
      </c>
    </row>
    <row r="459" spans="1:5" hidden="1" x14ac:dyDescent="0.2">
      <c r="A459" t="s">
        <v>1362</v>
      </c>
      <c r="B459" t="s">
        <v>597</v>
      </c>
      <c r="C459" t="s">
        <v>1360</v>
      </c>
      <c r="D459" t="s">
        <v>1363</v>
      </c>
      <c r="E459" t="s">
        <v>1361</v>
      </c>
    </row>
    <row r="460" spans="1:5" hidden="1" x14ac:dyDescent="0.2">
      <c r="A460" t="s">
        <v>1364</v>
      </c>
      <c r="B460" t="s">
        <v>597</v>
      </c>
      <c r="C460" t="s">
        <v>1360</v>
      </c>
      <c r="D460" t="s">
        <v>1365</v>
      </c>
      <c r="E460" t="s">
        <v>1361</v>
      </c>
    </row>
    <row r="461" spans="1:5" hidden="1" x14ac:dyDescent="0.2">
      <c r="A461" t="s">
        <v>596</v>
      </c>
      <c r="B461" t="s">
        <v>597</v>
      </c>
      <c r="C461" t="s">
        <v>598</v>
      </c>
      <c r="D461" t="s">
        <v>595</v>
      </c>
      <c r="E461" t="s">
        <v>1361</v>
      </c>
    </row>
    <row r="462" spans="1:5" hidden="1" x14ac:dyDescent="0.2">
      <c r="A462" t="s">
        <v>1366</v>
      </c>
      <c r="B462" t="s">
        <v>597</v>
      </c>
      <c r="C462" t="s">
        <v>1367</v>
      </c>
      <c r="D462" t="s">
        <v>1368</v>
      </c>
      <c r="E462" t="s">
        <v>1361</v>
      </c>
    </row>
    <row r="463" spans="1:5" hidden="1" x14ac:dyDescent="0.2">
      <c r="A463" t="s">
        <v>548</v>
      </c>
      <c r="B463" t="s">
        <v>549</v>
      </c>
      <c r="C463" t="s">
        <v>550</v>
      </c>
      <c r="D463" t="s">
        <v>547</v>
      </c>
      <c r="E463" t="s">
        <v>24</v>
      </c>
    </row>
    <row r="464" spans="1:5" hidden="1" x14ac:dyDescent="0.2">
      <c r="A464" t="s">
        <v>1369</v>
      </c>
      <c r="B464" t="s">
        <v>549</v>
      </c>
      <c r="C464" t="s">
        <v>550</v>
      </c>
      <c r="D464" t="s">
        <v>1370</v>
      </c>
      <c r="E464" t="s">
        <v>547</v>
      </c>
    </row>
    <row r="465" spans="1:5" hidden="1" x14ac:dyDescent="0.2">
      <c r="A465" t="s">
        <v>1371</v>
      </c>
      <c r="B465" t="s">
        <v>549</v>
      </c>
      <c r="C465" t="s">
        <v>550</v>
      </c>
      <c r="D465" t="s">
        <v>1372</v>
      </c>
      <c r="E465" t="s">
        <v>547</v>
      </c>
    </row>
    <row r="466" spans="1:5" hidden="1" x14ac:dyDescent="0.2">
      <c r="A466" t="s">
        <v>1373</v>
      </c>
      <c r="B466" t="s">
        <v>549</v>
      </c>
      <c r="C466" t="s">
        <v>550</v>
      </c>
      <c r="D466" t="s">
        <v>1374</v>
      </c>
      <c r="E466" t="s">
        <v>547</v>
      </c>
    </row>
    <row r="467" spans="1:5" hidden="1" x14ac:dyDescent="0.2">
      <c r="A467" t="s">
        <v>1375</v>
      </c>
      <c r="B467" t="s">
        <v>549</v>
      </c>
      <c r="C467" t="s">
        <v>1376</v>
      </c>
      <c r="D467" t="s">
        <v>1377</v>
      </c>
      <c r="E467" t="s">
        <v>547</v>
      </c>
    </row>
    <row r="468" spans="1:5" hidden="1" x14ac:dyDescent="0.2">
      <c r="A468" t="s">
        <v>1378</v>
      </c>
      <c r="B468" t="s">
        <v>549</v>
      </c>
      <c r="C468" t="s">
        <v>1379</v>
      </c>
      <c r="D468" t="s">
        <v>1380</v>
      </c>
      <c r="E468" t="s">
        <v>547</v>
      </c>
    </row>
    <row r="469" spans="1:5" hidden="1" x14ac:dyDescent="0.2">
      <c r="A469" t="s">
        <v>720</v>
      </c>
      <c r="B469" t="s">
        <v>721</v>
      </c>
      <c r="C469" t="s">
        <v>722</v>
      </c>
      <c r="D469" t="s">
        <v>719</v>
      </c>
      <c r="E469" t="s">
        <v>24</v>
      </c>
    </row>
    <row r="470" spans="1:5" hidden="1" x14ac:dyDescent="0.2">
      <c r="A470" t="s">
        <v>1381</v>
      </c>
      <c r="B470" t="s">
        <v>721</v>
      </c>
      <c r="C470" t="s">
        <v>722</v>
      </c>
      <c r="D470" t="s">
        <v>1382</v>
      </c>
      <c r="E470" t="s">
        <v>719</v>
      </c>
    </row>
    <row r="471" spans="1:5" hidden="1" x14ac:dyDescent="0.2">
      <c r="A471" t="s">
        <v>1383</v>
      </c>
      <c r="B471" t="s">
        <v>721</v>
      </c>
      <c r="C471" t="s">
        <v>722</v>
      </c>
      <c r="D471" t="s">
        <v>1384</v>
      </c>
      <c r="E471" t="s">
        <v>719</v>
      </c>
    </row>
    <row r="472" spans="1:5" hidden="1" x14ac:dyDescent="0.2">
      <c r="A472">
        <v>403174799</v>
      </c>
      <c r="B472" t="s">
        <v>706</v>
      </c>
      <c r="C472" t="s">
        <v>707</v>
      </c>
      <c r="D472" t="s">
        <v>705</v>
      </c>
      <c r="E472" t="s">
        <v>24</v>
      </c>
    </row>
    <row r="473" spans="1:5" hidden="1" x14ac:dyDescent="0.2">
      <c r="A473" t="s">
        <v>1385</v>
      </c>
      <c r="B473" t="s">
        <v>706</v>
      </c>
      <c r="C473" t="s">
        <v>1386</v>
      </c>
      <c r="D473" t="s">
        <v>1387</v>
      </c>
      <c r="E473" t="s">
        <v>705</v>
      </c>
    </row>
    <row r="474" spans="1:5" hidden="1" x14ac:dyDescent="0.2">
      <c r="A474" t="s">
        <v>1388</v>
      </c>
      <c r="B474" t="s">
        <v>706</v>
      </c>
      <c r="C474" t="s">
        <v>1389</v>
      </c>
      <c r="D474" t="s">
        <v>1390</v>
      </c>
      <c r="E474" t="s">
        <v>705</v>
      </c>
    </row>
    <row r="475" spans="1:5" hidden="1" x14ac:dyDescent="0.2">
      <c r="A475" t="s">
        <v>1391</v>
      </c>
      <c r="B475" t="s">
        <v>706</v>
      </c>
      <c r="C475" t="s">
        <v>1389</v>
      </c>
      <c r="D475" t="s">
        <v>1392</v>
      </c>
      <c r="E475" t="s">
        <v>705</v>
      </c>
    </row>
    <row r="476" spans="1:5" hidden="1" x14ac:dyDescent="0.2">
      <c r="A476" t="s">
        <v>1393</v>
      </c>
      <c r="B476" t="s">
        <v>706</v>
      </c>
      <c r="C476" t="s">
        <v>1394</v>
      </c>
      <c r="D476" t="s">
        <v>1395</v>
      </c>
      <c r="E476" t="s">
        <v>705</v>
      </c>
    </row>
    <row r="477" spans="1:5" hidden="1" x14ac:dyDescent="0.2">
      <c r="A477" t="s">
        <v>1396</v>
      </c>
      <c r="B477" t="s">
        <v>706</v>
      </c>
      <c r="C477" t="s">
        <v>1389</v>
      </c>
      <c r="D477" t="s">
        <v>1397</v>
      </c>
      <c r="E477" t="s">
        <v>705</v>
      </c>
    </row>
    <row r="478" spans="1:5" hidden="1" x14ac:dyDescent="0.2">
      <c r="A478" t="s">
        <v>1398</v>
      </c>
      <c r="B478" t="s">
        <v>706</v>
      </c>
      <c r="C478" t="s">
        <v>1389</v>
      </c>
      <c r="D478" t="s">
        <v>1399</v>
      </c>
      <c r="E478" t="s">
        <v>705</v>
      </c>
    </row>
    <row r="479" spans="1:5" hidden="1" x14ac:dyDescent="0.2">
      <c r="A479" t="s">
        <v>665</v>
      </c>
      <c r="B479" t="s">
        <v>666</v>
      </c>
      <c r="C479" t="s">
        <v>667</v>
      </c>
      <c r="D479" t="s">
        <v>664</v>
      </c>
      <c r="E479" t="s">
        <v>24</v>
      </c>
    </row>
    <row r="480" spans="1:5" hidden="1" x14ac:dyDescent="0.2">
      <c r="A480" t="s">
        <v>1400</v>
      </c>
      <c r="B480" t="s">
        <v>666</v>
      </c>
      <c r="C480" t="s">
        <v>667</v>
      </c>
      <c r="D480" t="s">
        <v>1401</v>
      </c>
      <c r="E480" t="s">
        <v>664</v>
      </c>
    </row>
    <row r="481" spans="1:5" hidden="1" x14ac:dyDescent="0.2">
      <c r="A481" t="s">
        <v>1402</v>
      </c>
      <c r="B481" t="s">
        <v>666</v>
      </c>
      <c r="C481" t="s">
        <v>667</v>
      </c>
      <c r="D481" t="s">
        <v>1403</v>
      </c>
      <c r="E481" t="s">
        <v>664</v>
      </c>
    </row>
    <row r="482" spans="1:5" hidden="1" x14ac:dyDescent="0.2">
      <c r="A482" t="s">
        <v>1404</v>
      </c>
      <c r="B482" t="s">
        <v>666</v>
      </c>
      <c r="C482" t="s">
        <v>667</v>
      </c>
      <c r="D482">
        <v>8600</v>
      </c>
      <c r="E482" t="s">
        <v>664</v>
      </c>
    </row>
    <row r="483" spans="1:5" hidden="1" x14ac:dyDescent="0.2">
      <c r="A483" t="s">
        <v>1405</v>
      </c>
      <c r="B483" t="s">
        <v>666</v>
      </c>
      <c r="C483" t="s">
        <v>667</v>
      </c>
      <c r="D483">
        <v>8471</v>
      </c>
      <c r="E483" t="s">
        <v>664</v>
      </c>
    </row>
    <row r="484" spans="1:5" hidden="1" x14ac:dyDescent="0.2">
      <c r="A484" t="s">
        <v>1406</v>
      </c>
      <c r="B484" t="s">
        <v>666</v>
      </c>
      <c r="C484" t="s">
        <v>1407</v>
      </c>
      <c r="D484" t="s">
        <v>1408</v>
      </c>
      <c r="E484" t="s">
        <v>664</v>
      </c>
    </row>
    <row r="485" spans="1:5" hidden="1" x14ac:dyDescent="0.2">
      <c r="A485" t="s">
        <v>716</v>
      </c>
      <c r="B485" t="s">
        <v>717</v>
      </c>
      <c r="C485" t="s">
        <v>718</v>
      </c>
      <c r="D485" t="s">
        <v>715</v>
      </c>
      <c r="E485" t="s">
        <v>24</v>
      </c>
    </row>
    <row r="486" spans="1:5" hidden="1" x14ac:dyDescent="0.2">
      <c r="A486" t="s">
        <v>1409</v>
      </c>
      <c r="B486" t="s">
        <v>717</v>
      </c>
      <c r="C486" t="s">
        <v>718</v>
      </c>
      <c r="D486" t="s">
        <v>1410</v>
      </c>
      <c r="E486" t="s">
        <v>715</v>
      </c>
    </row>
    <row r="487" spans="1:5" hidden="1" x14ac:dyDescent="0.2">
      <c r="A487" t="s">
        <v>1411</v>
      </c>
      <c r="B487" t="s">
        <v>717</v>
      </c>
      <c r="C487" t="s">
        <v>718</v>
      </c>
      <c r="D487" t="s">
        <v>1412</v>
      </c>
      <c r="E487" t="s">
        <v>715</v>
      </c>
    </row>
    <row r="488" spans="1:5" hidden="1" x14ac:dyDescent="0.2">
      <c r="A488">
        <v>400057230</v>
      </c>
      <c r="B488" t="s">
        <v>324</v>
      </c>
      <c r="C488" t="s">
        <v>325</v>
      </c>
      <c r="D488" t="s">
        <v>323</v>
      </c>
      <c r="E488" t="s">
        <v>24</v>
      </c>
    </row>
    <row r="489" spans="1:5" hidden="1" x14ac:dyDescent="0.2">
      <c r="A489">
        <v>408494471</v>
      </c>
      <c r="B489" t="s">
        <v>324</v>
      </c>
      <c r="C489" t="s">
        <v>1413</v>
      </c>
      <c r="D489" t="s">
        <v>1414</v>
      </c>
      <c r="E489" t="s">
        <v>323</v>
      </c>
    </row>
    <row r="490" spans="1:5" hidden="1" x14ac:dyDescent="0.2">
      <c r="A490" t="s">
        <v>600</v>
      </c>
      <c r="B490" t="s">
        <v>324</v>
      </c>
      <c r="C490" t="s">
        <v>601</v>
      </c>
      <c r="D490" t="s">
        <v>599</v>
      </c>
      <c r="E490" t="s">
        <v>323</v>
      </c>
    </row>
    <row r="491" spans="1:5" hidden="1" x14ac:dyDescent="0.2">
      <c r="A491" t="s">
        <v>1415</v>
      </c>
      <c r="B491" t="s">
        <v>324</v>
      </c>
      <c r="C491" t="s">
        <v>1416</v>
      </c>
      <c r="D491" t="s">
        <v>1417</v>
      </c>
      <c r="E491" t="s">
        <v>323</v>
      </c>
    </row>
    <row r="492" spans="1:5" hidden="1" x14ac:dyDescent="0.2">
      <c r="A492" t="s">
        <v>1418</v>
      </c>
      <c r="B492" t="s">
        <v>324</v>
      </c>
      <c r="C492" t="s">
        <v>601</v>
      </c>
      <c r="D492" t="s">
        <v>1419</v>
      </c>
      <c r="E492" t="s">
        <v>323</v>
      </c>
    </row>
    <row r="493" spans="1:5" hidden="1" x14ac:dyDescent="0.2">
      <c r="A493" t="s">
        <v>1420</v>
      </c>
      <c r="B493" t="s">
        <v>324</v>
      </c>
      <c r="C493" t="s">
        <v>1421</v>
      </c>
      <c r="D493" t="s">
        <v>1422</v>
      </c>
      <c r="E493" t="s">
        <v>323</v>
      </c>
    </row>
    <row r="494" spans="1:5" hidden="1" x14ac:dyDescent="0.2">
      <c r="A494" t="s">
        <v>1423</v>
      </c>
      <c r="B494" t="s">
        <v>324</v>
      </c>
      <c r="C494" t="s">
        <v>601</v>
      </c>
      <c r="D494" t="s">
        <v>1424</v>
      </c>
      <c r="E494" t="s">
        <v>323</v>
      </c>
    </row>
    <row r="495" spans="1:5" hidden="1" x14ac:dyDescent="0.2">
      <c r="A495" t="s">
        <v>1425</v>
      </c>
      <c r="B495" t="s">
        <v>324</v>
      </c>
      <c r="C495" t="s">
        <v>601</v>
      </c>
      <c r="D495" t="s">
        <v>1426</v>
      </c>
      <c r="E495" t="s">
        <v>323</v>
      </c>
    </row>
    <row r="496" spans="1:5" hidden="1" x14ac:dyDescent="0.2">
      <c r="A496" t="s">
        <v>1427</v>
      </c>
      <c r="B496" t="s">
        <v>324</v>
      </c>
      <c r="C496" t="s">
        <v>601</v>
      </c>
      <c r="D496" t="s">
        <v>1428</v>
      </c>
      <c r="E496" t="s">
        <v>323</v>
      </c>
    </row>
    <row r="497" spans="1:5" hidden="1" x14ac:dyDescent="0.2">
      <c r="A497" t="s">
        <v>1429</v>
      </c>
      <c r="B497" t="s">
        <v>324</v>
      </c>
      <c r="C497" t="s">
        <v>601</v>
      </c>
      <c r="D497" t="s">
        <v>1430</v>
      </c>
      <c r="E497" t="s">
        <v>323</v>
      </c>
    </row>
    <row r="498" spans="1:5" hidden="1" x14ac:dyDescent="0.2">
      <c r="A498" t="s">
        <v>1431</v>
      </c>
      <c r="B498" t="s">
        <v>324</v>
      </c>
      <c r="C498" t="s">
        <v>601</v>
      </c>
      <c r="D498" t="s">
        <v>1432</v>
      </c>
      <c r="E498" t="s">
        <v>323</v>
      </c>
    </row>
    <row r="499" spans="1:5" hidden="1" x14ac:dyDescent="0.2">
      <c r="A499" t="s">
        <v>1433</v>
      </c>
      <c r="B499" t="s">
        <v>324</v>
      </c>
      <c r="C499" t="s">
        <v>601</v>
      </c>
      <c r="D499">
        <v>8432</v>
      </c>
      <c r="E499" t="s">
        <v>323</v>
      </c>
    </row>
    <row r="500" spans="1:5" hidden="1" x14ac:dyDescent="0.2">
      <c r="A500" t="s">
        <v>1434</v>
      </c>
      <c r="B500" t="s">
        <v>324</v>
      </c>
      <c r="C500" t="s">
        <v>601</v>
      </c>
      <c r="D500" t="s">
        <v>1435</v>
      </c>
      <c r="E500" t="s">
        <v>323</v>
      </c>
    </row>
    <row r="501" spans="1:5" hidden="1" x14ac:dyDescent="0.2">
      <c r="A501" t="s">
        <v>1436</v>
      </c>
      <c r="B501" t="s">
        <v>324</v>
      </c>
      <c r="C501" t="s">
        <v>601</v>
      </c>
      <c r="D501" t="s">
        <v>1437</v>
      </c>
      <c r="E501" t="s">
        <v>323</v>
      </c>
    </row>
    <row r="502" spans="1:5" hidden="1" x14ac:dyDescent="0.2">
      <c r="A502" t="s">
        <v>661</v>
      </c>
      <c r="B502" t="s">
        <v>662</v>
      </c>
      <c r="C502" t="s">
        <v>663</v>
      </c>
      <c r="D502" t="s">
        <v>660</v>
      </c>
      <c r="E502" t="s">
        <v>24</v>
      </c>
    </row>
    <row r="503" spans="1:5" hidden="1" x14ac:dyDescent="0.2">
      <c r="A503" t="s">
        <v>1438</v>
      </c>
      <c r="B503" t="s">
        <v>662</v>
      </c>
      <c r="C503" t="s">
        <v>663</v>
      </c>
      <c r="D503" t="s">
        <v>1439</v>
      </c>
      <c r="E503" t="s">
        <v>660</v>
      </c>
    </row>
    <row r="504" spans="1:5" hidden="1" x14ac:dyDescent="0.2">
      <c r="A504" t="s">
        <v>1440</v>
      </c>
      <c r="B504" t="s">
        <v>662</v>
      </c>
      <c r="C504" t="s">
        <v>663</v>
      </c>
      <c r="D504" t="s">
        <v>1441</v>
      </c>
      <c r="E504" t="s">
        <v>660</v>
      </c>
    </row>
    <row r="505" spans="1:5" hidden="1" x14ac:dyDescent="0.2">
      <c r="A505" t="s">
        <v>1442</v>
      </c>
      <c r="B505" t="s">
        <v>662</v>
      </c>
      <c r="C505" t="s">
        <v>663</v>
      </c>
      <c r="D505" t="s">
        <v>1443</v>
      </c>
      <c r="E505" t="s">
        <v>660</v>
      </c>
    </row>
    <row r="506" spans="1:5" hidden="1" x14ac:dyDescent="0.2">
      <c r="A506" t="s">
        <v>1444</v>
      </c>
      <c r="B506" t="s">
        <v>662</v>
      </c>
      <c r="C506" t="s">
        <v>663</v>
      </c>
      <c r="D506" t="s">
        <v>1445</v>
      </c>
      <c r="E506" t="s">
        <v>660</v>
      </c>
    </row>
    <row r="507" spans="1:5" hidden="1" x14ac:dyDescent="0.2">
      <c r="A507" t="s">
        <v>1446</v>
      </c>
      <c r="B507" t="s">
        <v>662</v>
      </c>
      <c r="C507" t="s">
        <v>663</v>
      </c>
      <c r="D507" t="s">
        <v>1447</v>
      </c>
      <c r="E507" t="s">
        <v>660</v>
      </c>
    </row>
    <row r="508" spans="1:5" hidden="1" x14ac:dyDescent="0.2">
      <c r="A508" t="s">
        <v>1448</v>
      </c>
      <c r="B508" t="s">
        <v>662</v>
      </c>
      <c r="C508" t="s">
        <v>663</v>
      </c>
      <c r="D508" t="s">
        <v>1449</v>
      </c>
      <c r="E508" t="s">
        <v>660</v>
      </c>
    </row>
    <row r="509" spans="1:5" hidden="1" x14ac:dyDescent="0.2">
      <c r="A509">
        <v>553132044</v>
      </c>
      <c r="B509" t="s">
        <v>713</v>
      </c>
      <c r="C509" t="s">
        <v>1450</v>
      </c>
      <c r="D509" t="s">
        <v>1451</v>
      </c>
      <c r="E509" t="s">
        <v>24</v>
      </c>
    </row>
    <row r="510" spans="1:5" hidden="1" x14ac:dyDescent="0.2">
      <c r="A510">
        <v>584100176</v>
      </c>
      <c r="B510" t="s">
        <v>713</v>
      </c>
      <c r="C510" t="s">
        <v>341</v>
      </c>
      <c r="D510" t="s">
        <v>1452</v>
      </c>
      <c r="E510" t="s">
        <v>1451</v>
      </c>
    </row>
    <row r="511" spans="1:5" hidden="1" x14ac:dyDescent="0.2">
      <c r="A511" t="s">
        <v>712</v>
      </c>
      <c r="B511" t="s">
        <v>713</v>
      </c>
      <c r="C511" t="s">
        <v>714</v>
      </c>
      <c r="D511" t="s">
        <v>711</v>
      </c>
      <c r="E511" t="s">
        <v>1451</v>
      </c>
    </row>
    <row r="512" spans="1:5" hidden="1" x14ac:dyDescent="0.2">
      <c r="A512" t="s">
        <v>1453</v>
      </c>
      <c r="B512" t="s">
        <v>713</v>
      </c>
      <c r="C512" t="s">
        <v>714</v>
      </c>
      <c r="D512" t="s">
        <v>1454</v>
      </c>
      <c r="E512" t="s">
        <v>1451</v>
      </c>
    </row>
    <row r="513" spans="1:5" hidden="1" x14ac:dyDescent="0.2">
      <c r="A513">
        <v>724700554</v>
      </c>
      <c r="B513" t="s">
        <v>583</v>
      </c>
      <c r="C513" t="s">
        <v>1455</v>
      </c>
      <c r="D513" t="s">
        <v>1456</v>
      </c>
      <c r="E513" t="s">
        <v>582</v>
      </c>
    </row>
    <row r="514" spans="1:5" hidden="1" x14ac:dyDescent="0.2">
      <c r="A514">
        <v>724704010</v>
      </c>
      <c r="B514" t="s">
        <v>583</v>
      </c>
      <c r="C514" t="s">
        <v>105</v>
      </c>
      <c r="D514" t="s">
        <v>582</v>
      </c>
      <c r="E514" t="s">
        <v>24</v>
      </c>
    </row>
    <row r="515" spans="1:5" hidden="1" x14ac:dyDescent="0.2">
      <c r="A515">
        <v>724704853</v>
      </c>
      <c r="B515" t="s">
        <v>583</v>
      </c>
      <c r="C515" t="s">
        <v>1455</v>
      </c>
      <c r="D515" t="s">
        <v>1457</v>
      </c>
      <c r="E515" t="s">
        <v>582</v>
      </c>
    </row>
    <row r="516" spans="1:5" hidden="1" x14ac:dyDescent="0.2">
      <c r="A516">
        <v>724767371</v>
      </c>
      <c r="B516" t="s">
        <v>583</v>
      </c>
      <c r="C516" t="s">
        <v>1455</v>
      </c>
      <c r="D516" t="s">
        <v>1458</v>
      </c>
      <c r="E516" t="s">
        <v>582</v>
      </c>
    </row>
    <row r="517" spans="1:5" hidden="1" x14ac:dyDescent="0.2">
      <c r="A517">
        <v>724774567</v>
      </c>
      <c r="B517" t="s">
        <v>583</v>
      </c>
      <c r="C517" t="s">
        <v>1455</v>
      </c>
      <c r="D517" t="s">
        <v>1459</v>
      </c>
      <c r="E517" t="s">
        <v>582</v>
      </c>
    </row>
    <row r="518" spans="1:5" hidden="1" x14ac:dyDescent="0.2">
      <c r="A518">
        <v>401317900</v>
      </c>
      <c r="B518" t="s">
        <v>104</v>
      </c>
      <c r="C518" t="s">
        <v>105</v>
      </c>
      <c r="D518" t="s">
        <v>103</v>
      </c>
      <c r="E518" t="s">
        <v>24</v>
      </c>
    </row>
    <row r="519" spans="1:5" hidden="1" x14ac:dyDescent="0.2">
      <c r="A519">
        <v>724700570</v>
      </c>
      <c r="B519" t="s">
        <v>104</v>
      </c>
      <c r="C519" t="s">
        <v>1455</v>
      </c>
      <c r="D519" t="s">
        <v>1460</v>
      </c>
      <c r="E519" t="s">
        <v>103</v>
      </c>
    </row>
    <row r="520" spans="1:5" hidden="1" x14ac:dyDescent="0.2">
      <c r="A520">
        <v>724716071</v>
      </c>
      <c r="B520" t="s">
        <v>104</v>
      </c>
      <c r="C520" t="s">
        <v>1455</v>
      </c>
      <c r="D520" t="s">
        <v>1461</v>
      </c>
      <c r="E520" t="s">
        <v>103</v>
      </c>
    </row>
    <row r="521" spans="1:5" hidden="1" x14ac:dyDescent="0.2">
      <c r="A521">
        <v>724721469</v>
      </c>
      <c r="B521" t="s">
        <v>104</v>
      </c>
      <c r="C521" t="s">
        <v>1455</v>
      </c>
      <c r="D521" t="s">
        <v>1462</v>
      </c>
      <c r="E521" t="s">
        <v>103</v>
      </c>
    </row>
    <row r="522" spans="1:5" hidden="1" x14ac:dyDescent="0.2">
      <c r="A522">
        <v>724754551</v>
      </c>
      <c r="B522" t="s">
        <v>104</v>
      </c>
      <c r="C522" t="s">
        <v>1455</v>
      </c>
      <c r="D522" t="s">
        <v>1463</v>
      </c>
      <c r="E522" t="s">
        <v>103</v>
      </c>
    </row>
    <row r="523" spans="1:5" hidden="1" x14ac:dyDescent="0.2">
      <c r="A523">
        <v>731550083</v>
      </c>
      <c r="B523" t="s">
        <v>238</v>
      </c>
      <c r="C523" t="s">
        <v>1464</v>
      </c>
      <c r="D523" t="s">
        <v>1465</v>
      </c>
      <c r="E523" t="s">
        <v>237</v>
      </c>
    </row>
    <row r="524" spans="1:5" hidden="1" x14ac:dyDescent="0.2">
      <c r="A524">
        <v>731552022</v>
      </c>
      <c r="B524" t="s">
        <v>238</v>
      </c>
      <c r="C524" t="s">
        <v>239</v>
      </c>
      <c r="D524" t="s">
        <v>1466</v>
      </c>
      <c r="E524" t="s">
        <v>237</v>
      </c>
    </row>
    <row r="525" spans="1:5" hidden="1" x14ac:dyDescent="0.2">
      <c r="A525">
        <v>731587267</v>
      </c>
      <c r="B525" t="s">
        <v>238</v>
      </c>
      <c r="C525" t="s">
        <v>239</v>
      </c>
      <c r="D525" t="s">
        <v>237</v>
      </c>
      <c r="E525" t="s">
        <v>24</v>
      </c>
    </row>
    <row r="526" spans="1:5" hidden="1" x14ac:dyDescent="0.2">
      <c r="A526">
        <v>732009568</v>
      </c>
      <c r="B526" t="s">
        <v>247</v>
      </c>
      <c r="C526" t="s">
        <v>248</v>
      </c>
      <c r="D526" t="s">
        <v>246</v>
      </c>
      <c r="E526" t="s">
        <v>24</v>
      </c>
    </row>
    <row r="527" spans="1:5" hidden="1" x14ac:dyDescent="0.2">
      <c r="A527">
        <v>732063755</v>
      </c>
      <c r="B527" t="s">
        <v>247</v>
      </c>
      <c r="C527" t="s">
        <v>248</v>
      </c>
      <c r="D527" t="s">
        <v>1467</v>
      </c>
      <c r="E527" t="s">
        <v>246</v>
      </c>
    </row>
    <row r="528" spans="1:5" hidden="1" x14ac:dyDescent="0.2">
      <c r="A528">
        <v>732077813</v>
      </c>
      <c r="B528" t="s">
        <v>247</v>
      </c>
      <c r="C528" t="s">
        <v>248</v>
      </c>
      <c r="D528" t="s">
        <v>1468</v>
      </c>
      <c r="E528" t="s">
        <v>246</v>
      </c>
    </row>
    <row r="529" spans="1:5" hidden="1" x14ac:dyDescent="0.2">
      <c r="A529">
        <v>732601562</v>
      </c>
      <c r="B529" t="s">
        <v>82</v>
      </c>
      <c r="C529" t="s">
        <v>1469</v>
      </c>
      <c r="D529">
        <v>24231</v>
      </c>
      <c r="E529" t="s">
        <v>81</v>
      </c>
    </row>
    <row r="530" spans="1:5" hidden="1" x14ac:dyDescent="0.2">
      <c r="A530">
        <v>732602347</v>
      </c>
      <c r="B530" t="s">
        <v>82</v>
      </c>
      <c r="C530" t="s">
        <v>83</v>
      </c>
      <c r="D530" t="s">
        <v>81</v>
      </c>
      <c r="E530" t="s">
        <v>24</v>
      </c>
    </row>
    <row r="531" spans="1:5" hidden="1" x14ac:dyDescent="0.2">
      <c r="A531">
        <v>732680665</v>
      </c>
      <c r="B531" t="s">
        <v>82</v>
      </c>
      <c r="C531" t="s">
        <v>1469</v>
      </c>
      <c r="D531" t="s">
        <v>1470</v>
      </c>
      <c r="E531" t="s">
        <v>81</v>
      </c>
    </row>
    <row r="532" spans="1:5" hidden="1" x14ac:dyDescent="0.2">
      <c r="A532">
        <v>400021899</v>
      </c>
      <c r="B532" t="s">
        <v>265</v>
      </c>
      <c r="C532" t="s">
        <v>1471</v>
      </c>
      <c r="D532" t="s">
        <v>1471</v>
      </c>
      <c r="E532" t="s">
        <v>264</v>
      </c>
    </row>
    <row r="533" spans="1:5" hidden="1" x14ac:dyDescent="0.2">
      <c r="A533">
        <v>402855098</v>
      </c>
      <c r="B533" t="s">
        <v>265</v>
      </c>
      <c r="C533" t="s">
        <v>263</v>
      </c>
      <c r="D533" t="s">
        <v>1472</v>
      </c>
      <c r="E533" t="s">
        <v>264</v>
      </c>
    </row>
    <row r="534" spans="1:5" hidden="1" x14ac:dyDescent="0.2">
      <c r="A534">
        <v>732609516</v>
      </c>
      <c r="B534" t="s">
        <v>265</v>
      </c>
      <c r="C534" t="s">
        <v>1473</v>
      </c>
      <c r="D534">
        <v>22231</v>
      </c>
      <c r="E534" t="s">
        <v>264</v>
      </c>
    </row>
    <row r="535" spans="1:5" hidden="1" x14ac:dyDescent="0.2">
      <c r="A535">
        <v>732609557</v>
      </c>
      <c r="B535" t="s">
        <v>265</v>
      </c>
      <c r="C535" t="s">
        <v>263</v>
      </c>
      <c r="D535" t="s">
        <v>1474</v>
      </c>
      <c r="E535" t="s">
        <v>264</v>
      </c>
    </row>
    <row r="536" spans="1:5" hidden="1" x14ac:dyDescent="0.2">
      <c r="A536">
        <v>732684436</v>
      </c>
      <c r="B536" t="s">
        <v>265</v>
      </c>
      <c r="C536" t="s">
        <v>263</v>
      </c>
      <c r="D536" t="s">
        <v>264</v>
      </c>
      <c r="E536" t="s">
        <v>24</v>
      </c>
    </row>
    <row r="537" spans="1:5" hidden="1" x14ac:dyDescent="0.2">
      <c r="A537">
        <v>400214618</v>
      </c>
      <c r="B537" t="s">
        <v>221</v>
      </c>
      <c r="C537" t="s">
        <v>1475</v>
      </c>
      <c r="D537" t="s">
        <v>1476</v>
      </c>
      <c r="E537" t="s">
        <v>220</v>
      </c>
    </row>
    <row r="538" spans="1:5" hidden="1" x14ac:dyDescent="0.2">
      <c r="A538">
        <v>400249192</v>
      </c>
      <c r="B538" t="s">
        <v>221</v>
      </c>
      <c r="C538" t="s">
        <v>222</v>
      </c>
      <c r="D538" t="s">
        <v>1477</v>
      </c>
      <c r="E538" t="s">
        <v>220</v>
      </c>
    </row>
    <row r="539" spans="1:5" hidden="1" x14ac:dyDescent="0.2">
      <c r="A539">
        <v>417531772</v>
      </c>
      <c r="B539" t="s">
        <v>221</v>
      </c>
      <c r="C539" t="s">
        <v>222</v>
      </c>
      <c r="D539" t="s">
        <v>220</v>
      </c>
      <c r="E539" t="s">
        <v>24</v>
      </c>
    </row>
    <row r="540" spans="1:5" hidden="1" x14ac:dyDescent="0.2">
      <c r="A540" t="s">
        <v>1478</v>
      </c>
      <c r="B540" t="s">
        <v>221</v>
      </c>
      <c r="C540" t="s">
        <v>1479</v>
      </c>
      <c r="D540" t="s">
        <v>1480</v>
      </c>
      <c r="E540" t="s">
        <v>220</v>
      </c>
    </row>
    <row r="541" spans="1:5" hidden="1" x14ac:dyDescent="0.2">
      <c r="A541">
        <v>403834699</v>
      </c>
      <c r="B541" t="s">
        <v>100</v>
      </c>
      <c r="C541" t="s">
        <v>1481</v>
      </c>
      <c r="D541" t="s">
        <v>1482</v>
      </c>
      <c r="E541" t="s">
        <v>99</v>
      </c>
    </row>
    <row r="542" spans="1:5" hidden="1" x14ac:dyDescent="0.2">
      <c r="A542">
        <v>408364341</v>
      </c>
      <c r="B542" t="s">
        <v>100</v>
      </c>
      <c r="C542" t="s">
        <v>1483</v>
      </c>
      <c r="D542" t="s">
        <v>1484</v>
      </c>
      <c r="E542" t="s">
        <v>99</v>
      </c>
    </row>
    <row r="543" spans="1:5" hidden="1" x14ac:dyDescent="0.2">
      <c r="A543">
        <v>417103900</v>
      </c>
      <c r="B543" t="s">
        <v>100</v>
      </c>
      <c r="C543" t="s">
        <v>1481</v>
      </c>
      <c r="D543" t="s">
        <v>1485</v>
      </c>
      <c r="E543" t="s">
        <v>99</v>
      </c>
    </row>
    <row r="544" spans="1:5" hidden="1" x14ac:dyDescent="0.2">
      <c r="A544">
        <v>417983155</v>
      </c>
      <c r="B544" t="s">
        <v>100</v>
      </c>
      <c r="C544" t="s">
        <v>1481</v>
      </c>
      <c r="D544" t="s">
        <v>99</v>
      </c>
      <c r="E544" t="s">
        <v>24</v>
      </c>
    </row>
    <row r="545" spans="1:5" hidden="1" x14ac:dyDescent="0.2">
      <c r="A545" t="s">
        <v>1486</v>
      </c>
      <c r="B545" t="s">
        <v>100</v>
      </c>
      <c r="C545" t="s">
        <v>1487</v>
      </c>
      <c r="D545" t="s">
        <v>1488</v>
      </c>
      <c r="E545" t="s">
        <v>99</v>
      </c>
    </row>
    <row r="546" spans="1:5" hidden="1" x14ac:dyDescent="0.2">
      <c r="A546" t="s">
        <v>1489</v>
      </c>
      <c r="B546" t="s">
        <v>100</v>
      </c>
      <c r="C546" t="s">
        <v>1487</v>
      </c>
      <c r="D546" t="s">
        <v>1490</v>
      </c>
      <c r="E546" t="s">
        <v>99</v>
      </c>
    </row>
    <row r="547" spans="1:5" hidden="1" x14ac:dyDescent="0.2">
      <c r="A547" t="s">
        <v>1491</v>
      </c>
      <c r="B547" t="s">
        <v>100</v>
      </c>
      <c r="C547" t="s">
        <v>1481</v>
      </c>
      <c r="D547" t="s">
        <v>1492</v>
      </c>
      <c r="E547" t="s">
        <v>99</v>
      </c>
    </row>
    <row r="548" spans="1:5" hidden="1" x14ac:dyDescent="0.2">
      <c r="A548" t="s">
        <v>1493</v>
      </c>
      <c r="B548" t="s">
        <v>100</v>
      </c>
      <c r="C548" t="s">
        <v>1487</v>
      </c>
      <c r="D548" t="s">
        <v>1494</v>
      </c>
      <c r="E548" t="s">
        <v>99</v>
      </c>
    </row>
  </sheetData>
  <autoFilter ref="A1:E548" xr:uid="{16031DDD-D3D4-4E69-8FAF-D4906D1F11C8}">
    <filterColumn colId="1">
      <filters>
        <filter val="FFF006040"/>
      </filters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F666D295D912547BA9E148334157A62" ma:contentTypeVersion="0" ma:contentTypeDescription="צור מסמך חדש." ma:contentTypeScope="" ma:versionID="6ae073fb63369817d680fc90a25e605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f8e6d08e92ee3a9517dfa31387d5c5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12E4D4-0F9F-41F2-A929-354092AE0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AAD106-6E5A-43E5-A4DE-E23862A078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D094D6-C50C-4727-9A17-EA2A50730D2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2026</vt:lpstr>
      <vt:lpstr>FFF</vt:lpstr>
    </vt:vector>
  </TitlesOfParts>
  <Manager/>
  <Company>Elta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Amram Oren ELT 76571,71482</dc:creator>
  <cp:keywords/>
  <dc:description/>
  <cp:lastModifiedBy>IMOE001</cp:lastModifiedBy>
  <cp:revision/>
  <dcterms:created xsi:type="dcterms:W3CDTF">2024-08-13T17:15:19Z</dcterms:created>
  <dcterms:modified xsi:type="dcterms:W3CDTF">2026-08-06T10:17:53Z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0x0101000F666D295D912547BA9E148334157A62</vt:lpwstr>
  </property>
</Properties>
</file>